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drawings/drawing10.xml" ContentType="application/vnd.openxmlformats-officedocument.drawing+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S\Downloads\Problem Solving with Excel\Week 2\"/>
    </mc:Choice>
  </mc:AlternateContent>
  <bookViews>
    <workbookView xWindow="0" yWindow="0" windowWidth="20490" windowHeight="7620" tabRatio="705" firstSheet="6" activeTab="10"/>
  </bookViews>
  <sheets>
    <sheet name="Introduction" sheetId="1" r:id="rId1"/>
    <sheet name="Table of contents" sheetId="2" r:id="rId2"/>
    <sheet name="Section 1 - Import" sheetId="21" r:id="rId3"/>
    <sheet name="Section 1 - Import (ANS)" sheetId="26" state="hidden" r:id="rId4"/>
    <sheet name="Section 2 - Trim" sheetId="22" r:id="rId5"/>
    <sheet name="Section 2 - Trim (ANS)" sheetId="25" state="hidden" r:id="rId6"/>
    <sheet name="Section 3 - Substitute" sheetId="23" r:id="rId7"/>
    <sheet name="Section 3 - Substitute (ANS)" sheetId="24" state="hidden" r:id="rId8"/>
    <sheet name="Section 4 - Value" sheetId="27" r:id="rId9"/>
    <sheet name="Section 4 - Value (ANS)" sheetId="28" state="hidden" r:id="rId10"/>
    <sheet name="Section 5 - Duplicates" sheetId="32" r:id="rId11"/>
    <sheet name="Section 5 - Duplicates (ANS)" sheetId="34" state="hidden" r:id="rId12"/>
    <sheet name="Student Exercises" sheetId="3" state="hidden" r:id="rId13"/>
    <sheet name="Student Exercise Answers" sheetId="10" state="hidden" r:id="rId14"/>
    <sheet name="Data Set" sheetId="6" state="hidden" r:id="rId15"/>
  </sheets>
  <externalReferences>
    <externalReference r:id="rId16"/>
  </externalReferences>
  <definedNames>
    <definedName name="_xlnm._FilterDatabase" localSheetId="2" hidden="1">'Section 1 - Import'!$B$12:$B$19</definedName>
    <definedName name="D2_Product_Lookup_Table">'[1]2b. Product ID'!$C$12:$D$22</definedName>
    <definedName name="dg" localSheetId="10">#REF!</definedName>
    <definedName name="dg" localSheetId="11">#REF!</definedName>
    <definedName name="dg">#REF!</definedName>
    <definedName name="SalesQuantity" localSheetId="3">#REF!</definedName>
    <definedName name="SalesQuantity" localSheetId="5">#REF!</definedName>
    <definedName name="SalesQuantity" localSheetId="7">#REF!</definedName>
    <definedName name="SalesQuantity" localSheetId="8">#REF!</definedName>
    <definedName name="SalesQuantity" localSheetId="9">#REF!</definedName>
    <definedName name="SalesQuantity" localSheetId="10">#REF!</definedName>
    <definedName name="SalesQuantity" localSheetId="11">#REF!</definedName>
    <definedName name="SalesQuantity">#REF!</definedName>
    <definedName name="SalesRevenue" localSheetId="3">#REF!</definedName>
    <definedName name="SalesRevenue" localSheetId="5">#REF!</definedName>
    <definedName name="SalesRevenue" localSheetId="7">#REF!</definedName>
    <definedName name="SalesRevenue" localSheetId="8">#REF!</definedName>
    <definedName name="SalesRevenue" localSheetId="9">#REF!</definedName>
    <definedName name="SalesRevenue" localSheetId="10">#REF!</definedName>
    <definedName name="SalesRevenue" localSheetId="11">#REF!</definedName>
    <definedName name="SalesRevenue">#REF!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6" i="27" l="1"/>
  <c r="B27" i="27"/>
  <c r="B28" i="27"/>
  <c r="B29" i="27"/>
  <c r="B30" i="27"/>
  <c r="B31" i="27"/>
  <c r="B32" i="27"/>
  <c r="B25" i="27"/>
  <c r="C47" i="23"/>
  <c r="C48" i="23"/>
  <c r="C49" i="23"/>
  <c r="C46" i="23"/>
  <c r="C43" i="23"/>
  <c r="C44" i="23"/>
  <c r="C45" i="23"/>
  <c r="C42" i="23"/>
  <c r="B25" i="23"/>
  <c r="B26" i="23"/>
  <c r="B27" i="23"/>
  <c r="B28" i="23"/>
  <c r="B29" i="23"/>
  <c r="B30" i="23"/>
  <c r="B24" i="23"/>
  <c r="B26" i="22"/>
  <c r="B27" i="22"/>
  <c r="B28" i="22"/>
  <c r="B29" i="22"/>
  <c r="B30" i="22"/>
  <c r="B31" i="22"/>
  <c r="B25" i="22"/>
  <c r="B28" i="21"/>
  <c r="B29" i="21"/>
  <c r="B30" i="21"/>
  <c r="B31" i="21"/>
  <c r="B32" i="21"/>
  <c r="B33" i="21"/>
  <c r="B27" i="21"/>
  <c r="C43" i="24" l="1"/>
  <c r="B24" i="24"/>
  <c r="B25" i="24"/>
  <c r="B28" i="24"/>
  <c r="A4" i="34"/>
  <c r="A3" i="34"/>
  <c r="A2" i="34"/>
  <c r="A1" i="34"/>
  <c r="A4" i="32"/>
  <c r="A3" i="32"/>
  <c r="A2" i="32"/>
  <c r="A1" i="32"/>
  <c r="D33" i="28"/>
  <c r="B26" i="28"/>
  <c r="B27" i="28"/>
  <c r="B33" i="28" s="1"/>
  <c r="B28" i="28"/>
  <c r="B29" i="28"/>
  <c r="B30" i="28"/>
  <c r="B31" i="28"/>
  <c r="B32" i="28"/>
  <c r="B20" i="28"/>
  <c r="D33" i="27"/>
  <c r="B33" i="27"/>
  <c r="B20" i="27"/>
  <c r="D27" i="10"/>
  <c r="A4" i="28"/>
  <c r="A3" i="28"/>
  <c r="A2" i="28"/>
  <c r="A1" i="28"/>
  <c r="A4" i="27"/>
  <c r="A3" i="27"/>
  <c r="A2" i="27"/>
  <c r="A1" i="27"/>
  <c r="B33" i="26"/>
  <c r="B32" i="26"/>
  <c r="B31" i="26"/>
  <c r="B30" i="26"/>
  <c r="B29" i="26"/>
  <c r="B28" i="26"/>
  <c r="B27" i="26"/>
  <c r="A4" i="26"/>
  <c r="A3" i="26"/>
  <c r="A2" i="26"/>
  <c r="A1" i="26"/>
  <c r="B31" i="25"/>
  <c r="B30" i="25"/>
  <c r="B29" i="25"/>
  <c r="B28" i="25"/>
  <c r="B27" i="25"/>
  <c r="B26" i="25"/>
  <c r="B25" i="25"/>
  <c r="A4" i="25"/>
  <c r="A3" i="25"/>
  <c r="A2" i="25"/>
  <c r="A1" i="25"/>
  <c r="C49" i="24"/>
  <c r="C48" i="24"/>
  <c r="C47" i="24"/>
  <c r="C46" i="24"/>
  <c r="C45" i="24"/>
  <c r="C44" i="24"/>
  <c r="C42" i="24"/>
  <c r="C41" i="24"/>
  <c r="B30" i="24"/>
  <c r="B29" i="24"/>
  <c r="B27" i="24"/>
  <c r="B26" i="24"/>
  <c r="A4" i="24"/>
  <c r="A3" i="24"/>
  <c r="A2" i="24"/>
  <c r="A1" i="24"/>
  <c r="A4" i="23"/>
  <c r="A3" i="23"/>
  <c r="A2" i="23"/>
  <c r="A1" i="23"/>
  <c r="A4" i="22"/>
  <c r="A3" i="22"/>
  <c r="A2" i="22"/>
  <c r="A1" i="22"/>
  <c r="A4" i="21"/>
  <c r="A3" i="21"/>
  <c r="A2" i="21"/>
  <c r="A1" i="21"/>
  <c r="D33" i="10"/>
  <c r="D32" i="10"/>
  <c r="D31" i="10"/>
  <c r="D30" i="10"/>
  <c r="D29" i="10"/>
  <c r="D28" i="10"/>
  <c r="C33" i="10"/>
  <c r="C32" i="10"/>
  <c r="C31" i="10"/>
  <c r="C30" i="10"/>
  <c r="C29" i="10"/>
  <c r="C28" i="10"/>
  <c r="C27" i="10"/>
  <c r="B33" i="10"/>
  <c r="B32" i="10"/>
  <c r="B31" i="10"/>
  <c r="B30" i="10"/>
  <c r="B29" i="10"/>
  <c r="B28" i="10"/>
  <c r="B27" i="10"/>
  <c r="A4" i="10"/>
  <c r="A3" i="10"/>
  <c r="A2" i="10"/>
  <c r="A1" i="10"/>
  <c r="A4" i="3"/>
  <c r="A3" i="6"/>
  <c r="A2" i="6"/>
  <c r="A1" i="6"/>
  <c r="A3" i="3"/>
  <c r="A2" i="3"/>
  <c r="A1" i="3"/>
  <c r="A3" i="2"/>
  <c r="A2" i="2"/>
  <c r="A1" i="2"/>
</calcChain>
</file>

<file path=xl/sharedStrings.xml><?xml version="1.0" encoding="utf-8"?>
<sst xmlns="http://schemas.openxmlformats.org/spreadsheetml/2006/main" count="448" uniqueCount="152">
  <si>
    <t>Summary</t>
  </si>
  <si>
    <t>Section</t>
  </si>
  <si>
    <t>Description</t>
  </si>
  <si>
    <t>Contained in Workbook</t>
  </si>
  <si>
    <t>Data Set</t>
  </si>
  <si>
    <t>Name of External Referenced File</t>
  </si>
  <si>
    <t>Y</t>
  </si>
  <si>
    <t>Excel 101</t>
  </si>
  <si>
    <t>Clean</t>
  </si>
  <si>
    <t>Trim</t>
  </si>
  <si>
    <t>Substitue</t>
  </si>
  <si>
    <t>Value</t>
  </si>
  <si>
    <t>Staffing Data</t>
  </si>
  <si>
    <t>First Name</t>
  </si>
  <si>
    <t>Last Name</t>
  </si>
  <si>
    <t>Email Address</t>
  </si>
  <si>
    <t>_x0014_PROGRAF</t>
  </si>
  <si>
    <t>_x0014_PARIET</t>
  </si>
  <si>
    <t>_x0014_CONCERTA</t>
  </si>
  <si>
    <t>_x0014_LEUSTATIN</t>
  </si>
  <si>
    <t>_x0014_VELCADE</t>
  </si>
  <si>
    <t>Product</t>
  </si>
  <si>
    <t>Product Detail</t>
  </si>
  <si>
    <t>Reported Quantity</t>
  </si>
  <si>
    <t>PROGRAF 5MG 50CAPSULAS PROIBID</t>
  </si>
  <si>
    <t>PARIET     20 MG 28 CP OR</t>
  </si>
  <si>
    <t>CONCERTA 54MG FR         30CP OR</t>
  </si>
  <si>
    <t>LEUSTATIN        INJ CT C/ 1 FR          AMP</t>
  </si>
  <si>
    <t>VELCADE 3,5 MG OR</t>
  </si>
  <si>
    <t>LEUSTATIN INJ CT C/ 1       FR AMP</t>
  </si>
  <si>
    <t xml:space="preserve">    VELCADE 3,5 MG OR</t>
  </si>
  <si>
    <t>2</t>
  </si>
  <si>
    <t>3</t>
  </si>
  <si>
    <t>5</t>
  </si>
  <si>
    <t>10</t>
  </si>
  <si>
    <t xml:space="preserve">Your manager has given you a table of raw data to perform analysis on. The data has been pulled from multiple sources and needs to be standardized prior to analysis. </t>
  </si>
  <si>
    <t>Remove Character Using Clean</t>
  </si>
  <si>
    <t>Remove Spaces and Convert Commas to Periods Using Trim &amp; Substitute</t>
  </si>
  <si>
    <t>Return Text as Value</t>
  </si>
  <si>
    <t>Trim &amp; Substitute</t>
  </si>
  <si>
    <t>Problem 2</t>
  </si>
  <si>
    <t>Eric</t>
  </si>
  <si>
    <t>Johnson</t>
  </si>
  <si>
    <t>Manager</t>
  </si>
  <si>
    <t>John</t>
  </si>
  <si>
    <t>Smith</t>
  </si>
  <si>
    <t>Director</t>
  </si>
  <si>
    <t>Beth</t>
  </si>
  <si>
    <t>Summers</t>
  </si>
  <si>
    <t>associate</t>
  </si>
  <si>
    <t>Miles</t>
  </si>
  <si>
    <t>Peterson</t>
  </si>
  <si>
    <t>Partner</t>
  </si>
  <si>
    <t>Jenna</t>
  </si>
  <si>
    <t>Stone</t>
  </si>
  <si>
    <t>Your manager has given you raw contact info that needs to be separated by First Name, Last Name, Email Address and Phone Number. Using the text to columns function, separate this data in the table below.</t>
  </si>
  <si>
    <t>Substitute</t>
  </si>
  <si>
    <t>Sales Data</t>
  </si>
  <si>
    <t>Quarter 1, 2014</t>
  </si>
  <si>
    <t>Quarter 2, 2014</t>
  </si>
  <si>
    <t>Quarter 3, 2014</t>
  </si>
  <si>
    <t>Quarter 4, 2014</t>
  </si>
  <si>
    <t>Quarter 1, 2013</t>
  </si>
  <si>
    <t>Quarter 2, 2013</t>
  </si>
  <si>
    <t>Quarter 3, 2013</t>
  </si>
  <si>
    <t>Quarter 4, 2013</t>
  </si>
  <si>
    <t>You have been tasked to create a table for 2015 and 2016 cost data. You have already created the same list for sales data in the previous two years. Using the data on the left and the substitute formula, create a new list in the right hand column.</t>
  </si>
  <si>
    <t>Quinn</t>
  </si>
  <si>
    <t>Cook</t>
  </si>
  <si>
    <t>Employee Level</t>
  </si>
  <si>
    <t>Your manager has given you raw contact info that needs to be separated by First Name, Last Name, Email Address and Employee Level. Using the text to columns function, separate this data in the table below.</t>
  </si>
  <si>
    <t xml:space="preserve">Your manager has given you a table of raw data to perform analysis on. The data has been pulled from multiple sources and needs to be standardized prior to analysis.  </t>
  </si>
  <si>
    <t>Eric_Johnson_johnson.eric@Company.com_Manager</t>
  </si>
  <si>
    <t>John_Smith_john.smith@Company.com_Director</t>
  </si>
  <si>
    <t>Beth_Summers_beth.summers@Company.com_associate</t>
  </si>
  <si>
    <t>Miles_Peterson_Miles.peterson@Company.com_Partner</t>
  </si>
  <si>
    <t>Jenna_Stone_Jenne.Stone@Company.com_Manager</t>
  </si>
  <si>
    <t>Quinn_Cook_Quinn.Cook@Company.com_Manager</t>
  </si>
  <si>
    <t>Using Text To Columns</t>
  </si>
  <si>
    <t>johnson.eric@Company.com</t>
  </si>
  <si>
    <t>john.smith@Company.com</t>
  </si>
  <si>
    <t>beth.summers@Company.com</t>
  </si>
  <si>
    <t>Miles.peterson@Company.com</t>
  </si>
  <si>
    <t>Jenne.Stone@Company.com</t>
  </si>
  <si>
    <t>Import</t>
  </si>
  <si>
    <t>Problem 1a - Instructor Lead</t>
  </si>
  <si>
    <t>Problem 1b - Instructor Lead</t>
  </si>
  <si>
    <t>Eric_Johnson_johnson.eric@company.com_Manager</t>
  </si>
  <si>
    <t>John_Smith_john.smith@company.com_Director</t>
  </si>
  <si>
    <t>Beth_Summers_beth.summers@company.com_associate</t>
  </si>
  <si>
    <t>Miles_Peterson_Miles.peterson@company.com_Partner</t>
  </si>
  <si>
    <t>Jenna_Stone_Jenne.Stone@company.com_Manager</t>
  </si>
  <si>
    <t>Quinn_Cook_Quinn.Cook@company.com_Manager</t>
  </si>
  <si>
    <t>Problem 2a - Instructor Lead</t>
  </si>
  <si>
    <t>johnson.eric@company.com</t>
  </si>
  <si>
    <t>john.smith@company.com</t>
  </si>
  <si>
    <t>beth.summers@company.com</t>
  </si>
  <si>
    <t>Miles.peterson@company.com</t>
  </si>
  <si>
    <t>Jenne.Stone@company.com</t>
  </si>
  <si>
    <t>Quinn.Cook@company.com</t>
  </si>
  <si>
    <t>Problem 3a - Instructor Lead</t>
  </si>
  <si>
    <t>Problem 4a - Instructor Lead</t>
  </si>
  <si>
    <t>Duplicates</t>
  </si>
  <si>
    <t>Problem 5a - Instructor Lead</t>
  </si>
  <si>
    <t>Distributor ID</t>
  </si>
  <si>
    <t>Distributor Name</t>
  </si>
  <si>
    <t>Country</t>
  </si>
  <si>
    <t>Devin Abbott</t>
  </si>
  <si>
    <t>France</t>
  </si>
  <si>
    <t>Aphrodite Brennan</t>
  </si>
  <si>
    <t>Malawi</t>
  </si>
  <si>
    <t>Guinevere Key</t>
  </si>
  <si>
    <t>Colombia</t>
  </si>
  <si>
    <t>Zahir Fields</t>
  </si>
  <si>
    <t>Canada</t>
  </si>
  <si>
    <t>Deacon Craig</t>
  </si>
  <si>
    <t>Mongolia</t>
  </si>
  <si>
    <t>Brynne Mcgowan</t>
  </si>
  <si>
    <t>Finland</t>
  </si>
  <si>
    <t>Lani Sweet</t>
  </si>
  <si>
    <t>Vanuatu</t>
  </si>
  <si>
    <t>Noble Warner</t>
  </si>
  <si>
    <t>Burkina Faso</t>
  </si>
  <si>
    <t>Levi Douglas</t>
  </si>
  <si>
    <t>Tanzania, United Republic of</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</si>
  <si>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</si>
  <si>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</si>
  <si>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</si>
  <si>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</si>
  <si>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</si>
  <si>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</si>
  <si>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</si>
  <si>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</si>
  <si>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</si>
  <si>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</si>
  <si>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</si>
  <si>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</si>
  <si>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</si>
  <si>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</si>
  <si>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</si>
  <si>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</si>
  <si>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Problem 1 - Student Lead</t>
  </si>
  <si>
    <t>Your manager has given you a table of raw data to perform analysis on. The data has been pulled from multiple sources and needs to be standardized prior to analysis and duplicates need to be removed.</t>
  </si>
  <si>
    <t>Problem 2 - Student Lead</t>
  </si>
  <si>
    <t>Using =Value</t>
  </si>
  <si>
    <t>Problem 3b - Student Lead</t>
  </si>
  <si>
    <t>Student Exercises</t>
  </si>
  <si>
    <t>Problem Solving with Excel</t>
  </si>
  <si>
    <t>Data Cleansing - Values</t>
  </si>
  <si>
    <t>Week 2</t>
  </si>
  <si>
    <t xml:space="preserve">Your manager provided you with the following data, noting that there may be identical duplicate entries.  You need to update the table to only display the unique rows. </t>
  </si>
  <si>
    <t>Product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</si>
</sst>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 #,##0_);_(* \(#,##0\);_(* &quot;-&quot;_);@_)"/>
    <numFmt numFmtId="166" formatCode="0%_);\(0%\)"/>
  </numFmts>
  <fonts count="37"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8"/>
      <color theme="1"/>
      <name val="Arial"/>
      <family val="2"/>
    </font>
    <font>
      <b/>
      <u/>
      <sz val="10"/>
      <name val="Arial"/>
      <family val="2"/>
    </font>
    <font>
      <b/>
      <sz val="10"/>
      <color theme="3"/>
      <name val="Calibri"/>
      <family val="2"/>
      <scheme val="minor"/>
    </font>
    <font>
      <b/>
      <sz val="10"/>
      <name val="Arial"/>
      <family val="2"/>
    </font>
    <font>
      <b/>
      <sz val="10"/>
      <color theme="1"/>
      <name val="Arial"/>
      <family val="2"/>
    </font>
    <font>
      <sz val="10"/>
      <color theme="3"/>
      <name val="Arial"/>
      <family val="2"/>
    </font>
    <font>
      <b/>
      <sz val="12"/>
      <color rgb="FF000000"/>
      <name val="Calibri"/>
      <family val="2"/>
    </font>
    <font>
      <sz val="11"/>
      <name val="Arial"/>
      <family val="2"/>
    </font>
    <font>
      <b/>
      <sz val="11"/>
      <color theme="0"/>
      <name val="Arial"/>
      <family val="2"/>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bgColor indexed="64"/>
      </patternFill>
    </fill>
    <fill>
      <patternFill patternType="solid">
        <fgColor theme="0"/>
        <bgColor indexed="64"/>
      </patternFill>
    </fill>
  </fills>
  <borders count="1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right/>
      <top style="thin">
        <color theme="3"/>
      </top>
      <bottom style="thin">
        <color theme="3"/>
      </bottom>
      <diagonal/>
    </border>
    <border>
      <left/>
      <right/>
      <top/>
      <bottom style="thin">
        <color theme="3"/>
      </bottom>
      <diagonal/>
    </border>
  </borders>
  <cellStyleXfs count="34">
    <xf numFmtId="165" fontId="0" fillId="0" borderId="0"/>
    <xf numFmtId="9" fontId="3" fillId="0" borderId="0" applyFont="0" applyFill="0" applyBorder="0" applyAlignment="0" applyProtection="0"/>
    <xf numFmtId="49" fontId="21" fillId="0" borderId="0" applyAlignment="0" applyProtection="0"/>
    <xf numFmtId="49" fontId="11" fillId="0" borderId="6" applyFill="0" applyProtection="0">
      <alignment horizontal="right" wrapText="1"/>
    </xf>
    <xf numFmtId="49" fontId="12" fillId="0" borderId="0" applyProtection="0">
      <alignment wrapText="1"/>
    </xf>
    <xf numFmtId="49" fontId="13" fillId="0" borderId="7" applyFill="0" applyProtection="0">
      <alignment horizontal="right" wrapText="1"/>
    </xf>
    <xf numFmtId="49" fontId="13" fillId="0" borderId="0" applyProtection="0">
      <alignment wrapText="1"/>
    </xf>
    <xf numFmtId="0" fontId="10" fillId="2" borderId="0" applyNumberFormat="0" applyBorder="0" applyAlignment="0" applyProtection="0"/>
    <xf numFmtId="0" fontId="5" fillId="3" borderId="0" applyNumberFormat="0" applyBorder="0" applyAlignment="0" applyProtection="0"/>
    <xf numFmtId="0" fontId="16" fillId="4" borderId="0" applyNumberFormat="0" applyBorder="0" applyAlignment="0" applyProtection="0"/>
    <xf numFmtId="0" fontId="14" fillId="5" borderId="1" applyNumberFormat="0" applyAlignment="0" applyProtection="0"/>
    <xf numFmtId="0" fontId="17" fillId="6" borderId="2" applyNumberFormat="0" applyAlignment="0" applyProtection="0"/>
    <xf numFmtId="0" fontId="6" fillId="6" borderId="1" applyNumberFormat="0" applyAlignment="0" applyProtection="0"/>
    <xf numFmtId="0" fontId="15" fillId="0" borderId="3" applyNumberFormat="0" applyFill="0" applyAlignment="0" applyProtection="0"/>
    <xf numFmtId="0" fontId="7" fillId="7" borderId="4" applyNumberFormat="0" applyAlignment="0" applyProtection="0"/>
    <xf numFmtId="0" fontId="8" fillId="8" borderId="5" applyNumberFormat="0" applyAlignment="0" applyProtection="0"/>
    <xf numFmtId="0" fontId="9" fillId="0" borderId="0" applyNumberFormat="0" applyFill="0" applyBorder="0" applyAlignment="0" applyProtection="0"/>
    <xf numFmtId="0" fontId="22" fillId="0" borderId="10" applyNumberFormat="0" applyFill="0" applyAlignment="0" applyProtection="0"/>
    <xf numFmtId="165" fontId="18" fillId="0" borderId="0" applyNumberFormat="0" applyFill="0" applyBorder="0" applyAlignment="0" applyProtection="0"/>
    <xf numFmtId="165" fontId="8" fillId="9" borderId="0" applyNumberFormat="0" applyFont="0" applyBorder="0" applyAlignment="0" applyProtection="0"/>
    <xf numFmtId="0" fontId="8" fillId="0" borderId="0" applyFill="0" applyBorder="0" applyProtection="0"/>
    <xf numFmtId="165" fontId="8" fillId="10" borderId="0" applyNumberFormat="0" applyFont="0" applyBorder="0" applyAlignment="0" applyProtection="0"/>
    <xf numFmtId="166" fontId="8" fillId="0" borderId="0" applyFill="0" applyBorder="0" applyAlignment="0" applyProtection="0"/>
    <xf numFmtId="0" fontId="19" fillId="0" borderId="0" applyNumberFormat="0" applyAlignment="0" applyProtection="0"/>
    <xf numFmtId="0" fontId="18" fillId="0" borderId="6" applyFill="0" applyProtection="0">
      <alignment horizontal="right" wrapText="1"/>
    </xf>
    <xf numFmtId="0" fontId="18" fillId="0" borderId="0" applyFill="0" applyProtection="0">
      <alignment wrapText="1"/>
    </xf>
    <xf numFmtId="0" fontId="18" fillId="0" borderId="8" applyFill="0" applyProtection="0">
      <alignment wrapText="1"/>
    </xf>
    <xf numFmtId="165" fontId="20" fillId="0" borderId="9" applyNumberFormat="0" applyFill="0" applyAlignment="0" applyProtection="0"/>
    <xf numFmtId="0" fontId="4" fillId="0" borderId="0" applyAlignment="0" applyProtection="0"/>
    <xf numFmtId="0" fontId="20" fillId="0" borderId="10" applyNumberFormat="0" applyFill="0" applyAlignment="0" applyProtection="0"/>
    <xf numFmtId="0" fontId="24" fillId="0" borderId="0"/>
    <xf numFmtId="165" fontId="8" fillId="0" borderId="0"/>
    <xf numFmtId="0" fontId="2" fillId="0" borderId="0"/>
    <xf numFmtId="164" fontId="2" fillId="0" borderId="0" applyFont="0" applyFill="0" applyBorder="0" applyAlignment="0" applyProtection="0"/>
  </cellStyleXfs>
  <cellXfs count="54">
    <xf numFmtId="165" fontId="0" fillId="0" borderId="0" xfId="0"/>
    <xf numFmtId="165" fontId="23" fillId="0" borderId="0" xfId="0" applyFont="1"/>
    <xf numFmtId="0" fontId="24" fillId="0" borderId="0" xfId="30"/>
    <xf numFmtId="0" fontId="25" fillId="0" borderId="0" xfId="30" applyFont="1"/>
    <xf numFmtId="0" fontId="18" fillId="0" borderId="6" xfId="24" applyAlignment="1">
      <alignment horizontal="left" wrapText="1"/>
    </xf>
    <xf numFmtId="0" fontId="26" fillId="0" borderId="0" xfId="28" applyFont="1"/>
    <xf numFmtId="0" fontId="24" fillId="0" borderId="0" xfId="30" applyBorder="1"/>
    <xf numFmtId="165" fontId="28" fillId="0" borderId="0" xfId="0" applyFont="1" applyAlignment="1">
      <alignment vertical="center"/>
    </xf>
    <xf numFmtId="0" fontId="29" fillId="0" borderId="0" xfId="30" applyFont="1"/>
    <xf numFmtId="0" fontId="24" fillId="12" borderId="12" xfId="30" applyFill="1" applyBorder="1"/>
    <xf numFmtId="0" fontId="24" fillId="0" borderId="0" xfId="30" applyFont="1"/>
    <xf numFmtId="0" fontId="27" fillId="11" borderId="11" xfId="30" applyFont="1" applyFill="1" applyBorder="1" applyAlignment="1">
      <alignment horizontal="center"/>
    </xf>
    <xf numFmtId="0" fontId="24" fillId="12" borderId="12" xfId="30" applyFont="1" applyFill="1" applyBorder="1"/>
    <xf numFmtId="0" fontId="27" fillId="11" borderId="11" xfId="30" applyFont="1" applyFill="1" applyBorder="1" applyAlignment="1">
      <alignment horizontal="left"/>
    </xf>
    <xf numFmtId="0" fontId="30" fillId="0" borderId="0" xfId="30" applyFont="1" applyFill="1" applyBorder="1" applyAlignment="1">
      <alignment horizontal="center" vertical="center" wrapText="1"/>
    </xf>
    <xf numFmtId="0" fontId="24" fillId="12" borderId="12" xfId="30" applyFill="1" applyBorder="1" applyAlignment="1">
      <alignment horizontal="left"/>
    </xf>
    <xf numFmtId="0" fontId="24" fillId="0" borderId="0" xfId="30" applyAlignment="1">
      <alignment horizontal="left"/>
    </xf>
    <xf numFmtId="165" fontId="0" fillId="0" borderId="13" xfId="0" applyBorder="1"/>
    <xf numFmtId="165" fontId="20" fillId="0" borderId="0" xfId="0" applyFont="1" applyBorder="1" applyAlignment="1"/>
    <xf numFmtId="165" fontId="0" fillId="0" borderId="0" xfId="0" applyBorder="1"/>
    <xf numFmtId="49" fontId="24" fillId="12" borderId="12" xfId="30" applyNumberFormat="1" applyFill="1" applyBorder="1"/>
    <xf numFmtId="49" fontId="24" fillId="0" borderId="0" xfId="30" applyNumberFormat="1"/>
    <xf numFmtId="0" fontId="31" fillId="0" borderId="0" xfId="30" applyFont="1"/>
    <xf numFmtId="165" fontId="32" fillId="0" borderId="0" xfId="0" applyFont="1"/>
    <xf numFmtId="0" fontId="27" fillId="13" borderId="14" xfId="32" applyNumberFormat="1" applyFont="1" applyFill="1" applyBorder="1" applyAlignment="1">
      <alignment horizontal="left" wrapText="1"/>
    </xf>
    <xf numFmtId="0" fontId="33" fillId="0" borderId="14" xfId="32" applyNumberFormat="1" applyFont="1" applyBorder="1" applyAlignment="1">
      <alignment horizontal="left"/>
    </xf>
    <xf numFmtId="0" fontId="33" fillId="0" borderId="14" xfId="32" applyNumberFormat="1" applyFont="1" applyFill="1" applyBorder="1" applyAlignment="1">
      <alignment horizontal="left"/>
    </xf>
    <xf numFmtId="0" fontId="33" fillId="0" borderId="15" xfId="32" applyNumberFormat="1" applyFont="1" applyBorder="1" applyAlignment="1">
      <alignment horizontal="left"/>
    </xf>
    <xf numFmtId="0" fontId="33" fillId="0" borderId="15" xfId="32" applyNumberFormat="1" applyFont="1" applyFill="1" applyBorder="1" applyAlignment="1">
      <alignment horizontal="left"/>
    </xf>
    <xf numFmtId="0" fontId="33" fillId="14" borderId="14" xfId="32" applyNumberFormat="1" applyFont="1" applyFill="1" applyBorder="1" applyAlignment="1">
      <alignment horizontal="left"/>
    </xf>
    <xf numFmtId="165" fontId="0" fillId="0" borderId="0" xfId="0" applyFill="1"/>
    <xf numFmtId="0" fontId="24" fillId="0" borderId="12" xfId="30" applyFill="1" applyBorder="1"/>
    <xf numFmtId="0" fontId="27" fillId="0" borderId="0" xfId="30" applyFont="1" applyFill="1" applyBorder="1" applyAlignment="1">
      <alignment horizontal="left"/>
    </xf>
    <xf numFmtId="0" fontId="24" fillId="0" borderId="0" xfId="30" applyFill="1" applyBorder="1"/>
    <xf numFmtId="165" fontId="0" fillId="0" borderId="0" xfId="0" applyFill="1" applyBorder="1"/>
    <xf numFmtId="0" fontId="27" fillId="0" borderId="0" xfId="30" applyFont="1" applyFill="1" applyBorder="1" applyAlignment="1">
      <alignment horizontal="center"/>
    </xf>
    <xf numFmtId="0" fontId="24" fillId="0" borderId="12" xfId="30" applyFont="1" applyFill="1" applyBorder="1"/>
    <xf numFmtId="0" fontId="24" fillId="0" borderId="0" xfId="30" applyFont="1" applyBorder="1"/>
    <xf numFmtId="0" fontId="31" fillId="0" borderId="0" xfId="30" applyFont="1" applyAlignment="1">
      <alignment horizontal="left" wrapText="1"/>
    </xf>
    <xf numFmtId="0" fontId="27" fillId="11" borderId="11" xfId="30" applyFont="1" applyFill="1" applyBorder="1" applyAlignment="1">
      <alignment horizontal="center"/>
    </xf>
    <xf numFmtId="0" fontId="24" fillId="0" borderId="0" xfId="30" applyAlignment="1">
      <alignment horizontal="center" vertical="center"/>
    </xf>
    <xf numFmtId="165" fontId="0" fillId="0" borderId="0" xfId="0" applyAlignment="1">
      <alignment horizontal="center" vertical="center"/>
    </xf>
    <xf numFmtId="0" fontId="27" fillId="11" borderId="11" xfId="30" applyFont="1" applyFill="1" applyBorder="1" applyAlignment="1">
      <alignment horizontal="center" vertical="center"/>
    </xf>
    <xf numFmtId="0" fontId="24" fillId="12" borderId="12" xfId="30" applyFill="1" applyBorder="1" applyAlignment="1">
      <alignment horizontal="center" vertical="center"/>
    </xf>
    <xf numFmtId="0" fontId="35" fillId="0" borderId="0" xfId="30" applyFont="1" applyAlignment="1">
      <alignment horizontal="center" vertical="center"/>
    </xf>
    <xf numFmtId="165" fontId="1" fillId="0" borderId="0" xfId="0" applyFont="1" applyAlignment="1">
      <alignment horizontal="center" vertical="center"/>
    </xf>
    <xf numFmtId="0" fontId="36" fillId="11" borderId="11" xfId="30" applyFont="1" applyFill="1" applyBorder="1" applyAlignment="1">
      <alignment horizontal="center" vertical="center"/>
    </xf>
    <xf numFmtId="0" fontId="35" fillId="12" borderId="12" xfId="30" applyFont="1" applyFill="1" applyBorder="1" applyAlignment="1">
      <alignment horizontal="center" vertical="center"/>
    </xf>
    <xf numFmtId="0" fontId="27" fillId="13" borderId="14" xfId="32" applyNumberFormat="1" applyFont="1" applyFill="1" applyBorder="1" applyAlignment="1">
      <alignment horizontal="center" vertical="center" wrapText="1"/>
    </xf>
    <xf numFmtId="0" fontId="33" fillId="0" borderId="14" xfId="32" applyNumberFormat="1" applyFont="1" applyBorder="1" applyAlignment="1">
      <alignment horizontal="center" vertical="center"/>
    </xf>
    <xf numFmtId="0" fontId="33" fillId="0" borderId="14" xfId="32" applyNumberFormat="1" applyFont="1" applyFill="1" applyBorder="1" applyAlignment="1">
      <alignment horizontal="center" vertical="center"/>
    </xf>
    <xf numFmtId="0" fontId="33" fillId="0" borderId="15" xfId="32" applyNumberFormat="1" applyFont="1" applyBorder="1" applyAlignment="1">
      <alignment horizontal="center" vertical="center"/>
    </xf>
    <xf numFmtId="0" fontId="33" fillId="0" borderId="15" xfId="32" applyNumberFormat="1" applyFont="1" applyFill="1" applyBorder="1" applyAlignment="1">
      <alignment horizontal="center" vertical="center"/>
    </xf>
    <xf numFmtId="0" fontId="33" fillId="14" borderId="14" xfId="32" applyNumberFormat="1" applyFont="1" applyFill="1" applyBorder="1" applyAlignment="1">
      <alignment horizontal="center" vertical="center"/>
    </xf>
  </cellXfs>
  <cellStyles count="34">
    <cellStyle name="Bad" xfId="8" builtinId="27" customBuiltin="1"/>
    <cellStyle name="Calculation" xfId="12" builtinId="22" customBuiltin="1"/>
    <cellStyle name="Check Cell" xfId="14" builtinId="23" customBuiltin="1"/>
    <cellStyle name="Currency 2" xfId="33"/>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rmal 4" xfId="32"/>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11">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781050</xdr:colOff>
          <xdr:row>19</xdr:row>
          <xdr:rowOff>66675</xdr:rowOff>
        </xdr:from>
        <xdr:to>
          <xdr:col>2</xdr:col>
          <xdr:colOff>2305050</xdr:colOff>
          <xdr:row>22</xdr:row>
          <xdr:rowOff>114300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39</xdr:row>
          <xdr:rowOff>142875</xdr:rowOff>
        </xdr:from>
        <xdr:to>
          <xdr:col>4</xdr:col>
          <xdr:colOff>276225</xdr:colOff>
          <xdr:row>43</xdr:row>
          <xdr:rowOff>19050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304800</xdr:colOff>
          <xdr:row>13</xdr:row>
          <xdr:rowOff>104775</xdr:rowOff>
        </xdr:from>
        <xdr:to>
          <xdr:col>2</xdr:col>
          <xdr:colOff>1828800</xdr:colOff>
          <xdr:row>16</xdr:row>
          <xdr:rowOff>152400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2724150</xdr:colOff>
          <xdr:row>38</xdr:row>
          <xdr:rowOff>142875</xdr:rowOff>
        </xdr:from>
        <xdr:to>
          <xdr:col>3</xdr:col>
          <xdr:colOff>1247775</xdr:colOff>
          <xdr:row>42</xdr:row>
          <xdr:rowOff>19050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638175</xdr:colOff>
          <xdr:row>14</xdr:row>
          <xdr:rowOff>57150</xdr:rowOff>
        </xdr:from>
        <xdr:to>
          <xdr:col>3</xdr:col>
          <xdr:colOff>495300</xdr:colOff>
          <xdr:row>17</xdr:row>
          <xdr:rowOff>104775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409575</xdr:colOff>
          <xdr:row>15</xdr:row>
          <xdr:rowOff>19050</xdr:rowOff>
        </xdr:from>
        <xdr:to>
          <xdr:col>2</xdr:col>
          <xdr:colOff>1933575</xdr:colOff>
          <xdr:row>18</xdr:row>
          <xdr:rowOff>66675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666750</xdr:colOff>
          <xdr:row>17</xdr:row>
          <xdr:rowOff>152400</xdr:rowOff>
        </xdr:from>
        <xdr:to>
          <xdr:col>2</xdr:col>
          <xdr:colOff>2190750</xdr:colOff>
          <xdr:row>21</xdr:row>
          <xdr:rowOff>28575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40</xdr:row>
          <xdr:rowOff>104775</xdr:rowOff>
        </xdr:from>
        <xdr:to>
          <xdr:col>5</xdr:col>
          <xdr:colOff>228600</xdr:colOff>
          <xdr:row>43</xdr:row>
          <xdr:rowOff>142875</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3B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1228725</xdr:colOff>
          <xdr:row>18</xdr:row>
          <xdr:rowOff>38100</xdr:rowOff>
        </xdr:from>
        <xdr:to>
          <xdr:col>2</xdr:col>
          <xdr:colOff>2962275</xdr:colOff>
          <xdr:row>21</xdr:row>
          <xdr:rowOff>76200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619125</xdr:colOff>
          <xdr:row>42</xdr:row>
          <xdr:rowOff>38100</xdr:rowOff>
        </xdr:from>
        <xdr:to>
          <xdr:col>4</xdr:col>
          <xdr:colOff>495300</xdr:colOff>
          <xdr:row>45</xdr:row>
          <xdr:rowOff>76200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2209800</xdr:colOff>
          <xdr:row>13</xdr:row>
          <xdr:rowOff>95250</xdr:rowOff>
        </xdr:from>
        <xdr:to>
          <xdr:col>3</xdr:col>
          <xdr:colOff>933450</xdr:colOff>
          <xdr:row>16</xdr:row>
          <xdr:rowOff>133350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4A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438150</xdr:colOff>
          <xdr:row>14</xdr:row>
          <xdr:rowOff>66675</xdr:rowOff>
        </xdr:from>
        <xdr:to>
          <xdr:col>4</xdr:col>
          <xdr:colOff>314325</xdr:colOff>
          <xdr:row>17</xdr:row>
          <xdr:rowOff>104775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18</xdr:row>
          <xdr:rowOff>123825</xdr:rowOff>
        </xdr:from>
        <xdr:to>
          <xdr:col>8</xdr:col>
          <xdr:colOff>295275</xdr:colOff>
          <xdr:row>22</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5A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18</xdr:row>
          <xdr:rowOff>95250</xdr:rowOff>
        </xdr:from>
        <xdr:to>
          <xdr:col>7</xdr:col>
          <xdr:colOff>457200</xdr:colOff>
          <xdr:row>21</xdr:row>
          <xdr:rowOff>133350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571500</xdr:colOff>
          <xdr:row>21</xdr:row>
          <xdr:rowOff>47625</xdr:rowOff>
        </xdr:from>
        <xdr:to>
          <xdr:col>6</xdr:col>
          <xdr:colOff>552450</xdr:colOff>
          <xdr:row>24</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40</xdr:row>
          <xdr:rowOff>142875</xdr:rowOff>
        </xdr:from>
        <xdr:to>
          <xdr:col>8</xdr:col>
          <xdr:colOff>104775</xdr:colOff>
          <xdr:row>44</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18</xdr:row>
          <xdr:rowOff>161925</xdr:rowOff>
        </xdr:from>
        <xdr:to>
          <xdr:col>6</xdr:col>
          <xdr:colOff>228600</xdr:colOff>
          <xdr:row>22</xdr:row>
          <xdr:rowOff>28575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714375</xdr:colOff>
          <xdr:row>38</xdr:row>
          <xdr:rowOff>9525</xdr:rowOff>
        </xdr:from>
        <xdr:to>
          <xdr:col>5</xdr:col>
          <xdr:colOff>1000125</xdr:colOff>
          <xdr:row>41</xdr:row>
          <xdr:rowOff>47625</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daniele006/Excel%20Gurus/Foundational%20Course/Excel%20Gurus%20-%20Foundational%20and%20Intermediate%20Course%205.31.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mailto:Quinn_Cook_Quinn.Cook@pwc.com_Manager" TargetMode="External"/><Relationship Id="rId7" Type="http://schemas.openxmlformats.org/officeDocument/2006/relationships/ctrlProp" Target="../ctrlProps/ctrlProp1.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mailto:Quinn_Cook_Quinn.Cook@pwc.com_Manager" TargetMode="External"/><Relationship Id="rId7" Type="http://schemas.openxmlformats.org/officeDocument/2006/relationships/ctrlProp" Target="../ctrlProps/ctrlProp3.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trlProp" Target="../ctrlProps/ctrlProp16.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ctrlProp" Target="../ctrlProps/ctrlProp15.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18.xml"/><Relationship Id="rId2" Type="http://schemas.openxmlformats.org/officeDocument/2006/relationships/hyperlink" Target="mailto:Jenna_Stone_Jenne.Stone@pwc.com_Manager" TargetMode="External"/><Relationship Id="rId1" Type="http://schemas.openxmlformats.org/officeDocument/2006/relationships/hyperlink" Target="mailto:Beth_Summers_beth.summers@pwc.com_associate" TargetMode="External"/><Relationship Id="rId6" Type="http://schemas.openxmlformats.org/officeDocument/2006/relationships/ctrlProp" Target="../ctrlProps/ctrlProp17.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
  <sheetViews>
    <sheetView showGridLines="0" workbookViewId="0">
      <selection activeCell="K1" sqref="K1"/>
    </sheetView>
  </sheetViews>
  <sheetFormatPr defaultRowHeight="12" x14ac:dyDescent="0.2"/>
  <sheetData>
    <row r="1" spans="1:1" ht="18.75" x14ac:dyDescent="0.3">
      <c r="A1" s="1" t="s">
        <v>147</v>
      </c>
    </row>
    <row r="2" spans="1:1" ht="18.75" x14ac:dyDescent="0.3">
      <c r="A2" s="1" t="s">
        <v>149</v>
      </c>
    </row>
    <row r="3" spans="1:1" ht="18.75" x14ac:dyDescent="0.3">
      <c r="A3" s="1" t="s">
        <v>148</v>
      </c>
    </row>
    <row r="9" spans="1:1" x14ac:dyDescent="0.2">
      <c r="A9" s="7"/>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
  <sheetViews>
    <sheetView showGridLines="0" zoomScale="80" workbookViewId="0">
      <selection activeCell="F1" sqref="F1"/>
    </sheetView>
  </sheetViews>
  <sheetFormatPr defaultColWidth="9.33203125" defaultRowHeight="12.75" x14ac:dyDescent="0.2"/>
  <cols>
    <col min="1" max="1" width="9.33203125" style="2"/>
    <col min="2" max="2" width="10.83203125" style="2" bestFit="1" customWidth="1"/>
    <col min="3" max="3" width="34.5" style="2" customWidth="1"/>
    <col min="4" max="4" width="29" style="2" bestFit="1" customWidth="1"/>
    <col min="5" max="5" width="40.6640625" style="2" customWidth="1"/>
    <col min="6" max="16384" width="9.33203125" style="2"/>
  </cols>
  <sheetData>
    <row r="1" spans="1:5" x14ac:dyDescent="0.2">
      <c r="A1" s="3" t="str">
        <f>Introduction!A1</f>
        <v>Problem Solving with Excel</v>
      </c>
    </row>
    <row r="2" spans="1:5" x14ac:dyDescent="0.2">
      <c r="A2" s="3" t="str">
        <f>Introduction!A2</f>
        <v>Week 2</v>
      </c>
    </row>
    <row r="3" spans="1:5" x14ac:dyDescent="0.2">
      <c r="A3" s="3" t="str">
        <f>Introduction!A3</f>
        <v>Data Cleansing - Values</v>
      </c>
    </row>
    <row r="4" spans="1:5" x14ac:dyDescent="0.2">
      <c r="A4" s="3" t="s">
        <v>0</v>
      </c>
    </row>
    <row r="7" spans="1:5" ht="13.5" thickBot="1" x14ac:dyDescent="0.25">
      <c r="B7" s="4" t="s">
        <v>1</v>
      </c>
      <c r="C7" s="4" t="s">
        <v>2</v>
      </c>
      <c r="D7" s="4" t="s">
        <v>3</v>
      </c>
      <c r="E7" s="4" t="s">
        <v>5</v>
      </c>
    </row>
    <row r="8" spans="1:5" x14ac:dyDescent="0.2">
      <c r="B8" s="2">
        <v>1</v>
      </c>
      <c r="C8" s="2" t="s">
        <v>84</v>
      </c>
      <c r="D8" s="2" t="s">
        <v>6</v>
      </c>
      <c r="E8" s="2" t="s">
        <v>7</v>
      </c>
    </row>
    <row r="9" spans="1:5" x14ac:dyDescent="0.2">
      <c r="B9" s="2">
        <v>2</v>
      </c>
      <c r="C9" s="2" t="s">
        <v>9</v>
      </c>
      <c r="D9" s="2" t="s">
        <v>6</v>
      </c>
      <c r="E9" s="2" t="s">
        <v>7</v>
      </c>
    </row>
    <row r="10" spans="1:5" x14ac:dyDescent="0.2">
      <c r="B10" s="2">
        <v>3</v>
      </c>
      <c r="C10" s="2" t="s">
        <v>10</v>
      </c>
      <c r="D10" s="2" t="s">
        <v>6</v>
      </c>
      <c r="E10" s="2" t="s">
        <v>7</v>
      </c>
    </row>
    <row r="11" spans="1:5" x14ac:dyDescent="0.2">
      <c r="B11" s="2">
        <v>4</v>
      </c>
      <c r="C11" s="2" t="s">
        <v>11</v>
      </c>
      <c r="D11" s="2" t="s">
        <v>6</v>
      </c>
      <c r="E11" s="2" t="s">
        <v>7</v>
      </c>
    </row>
    <row r="12" spans="1:5" x14ac:dyDescent="0.2">
      <c r="B12" s="2">
        <v>5</v>
      </c>
      <c r="C12" s="2" t="s">
        <v>102</v>
      </c>
      <c r="D12" s="2" t="s">
        <v>6</v>
      </c>
      <c r="E12" s="2" t="s">
        <v>7</v>
      </c>
    </row>
    <row r="13" spans="1:5" x14ac:dyDescent="0.2">
      <c r="B13" s="2">
        <v>6</v>
      </c>
      <c r="C13" s="2" t="s">
        <v>146</v>
      </c>
      <c r="D13" s="2" t="s">
        <v>6</v>
      </c>
      <c r="E13" s="2" t="s">
        <v>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57"/>
  <sheetViews>
    <sheetView showGridLines="0" topLeftCell="A30" zoomScale="80" zoomScaleNormal="80" workbookViewId="0">
      <selection activeCell="F51" sqref="F51"/>
    </sheetView>
  </sheetViews>
  <sheetFormatPr defaultColWidth="9.33203125" defaultRowHeight="12.75" outlineLevelRow="1" x14ac:dyDescent="0.2"/>
  <cols>
    <col min="1" max="1" width="9.33203125" style="2"/>
    <col min="2" max="2" width="24.6640625" style="2" customWidth="1"/>
    <col min="3" max="3" width="52.6640625" style="2" customWidth="1"/>
    <col min="4" max="4" width="37.83203125" style="2" bestFit="1" customWidth="1"/>
    <col min="5" max="5" width="25.5" style="2" customWidth="1"/>
    <col min="6" max="6" width="18.332031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1 - Import</v>
      </c>
    </row>
    <row r="5" spans="1:16" x14ac:dyDescent="0.2">
      <c r="P5" s="6"/>
    </row>
    <row r="7" spans="1:16" ht="18.75" x14ac:dyDescent="0.3">
      <c r="B7" s="5" t="s">
        <v>85</v>
      </c>
    </row>
    <row r="8" spans="1:16" outlineLevel="1" x14ac:dyDescent="0.2">
      <c r="F8"/>
      <c r="G8"/>
    </row>
    <row r="9" spans="1:16" outlineLevel="1" x14ac:dyDescent="0.2">
      <c r="B9" s="38" t="s">
        <v>71</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21</v>
      </c>
      <c r="C12"/>
      <c r="D12"/>
      <c r="E12"/>
      <c r="F12"/>
      <c r="G12"/>
      <c r="H12"/>
    </row>
    <row r="13" spans="1:16" outlineLevel="1" x14ac:dyDescent="0.2">
      <c r="B13" s="12" t="s">
        <v>16</v>
      </c>
      <c r="C13"/>
      <c r="D13"/>
      <c r="E13"/>
      <c r="F13"/>
      <c r="G13"/>
      <c r="H13"/>
    </row>
    <row r="14" spans="1:16" outlineLevel="1" x14ac:dyDescent="0.2">
      <c r="B14" s="10" t="s">
        <v>17</v>
      </c>
      <c r="C14"/>
      <c r="D14"/>
      <c r="E14"/>
      <c r="F14"/>
      <c r="G14"/>
      <c r="H14"/>
    </row>
    <row r="15" spans="1:16" outlineLevel="1" x14ac:dyDescent="0.2">
      <c r="B15" s="12" t="s">
        <v>18</v>
      </c>
      <c r="C15"/>
      <c r="D15"/>
      <c r="E15"/>
      <c r="F15"/>
      <c r="G15"/>
      <c r="H15"/>
    </row>
    <row r="16" spans="1:16" outlineLevel="1" x14ac:dyDescent="0.2">
      <c r="B16" s="10" t="s">
        <v>19</v>
      </c>
      <c r="C16"/>
      <c r="D16"/>
      <c r="E16"/>
      <c r="F16"/>
      <c r="G16"/>
      <c r="H16"/>
    </row>
    <row r="17" spans="2:9" outlineLevel="1" x14ac:dyDescent="0.2">
      <c r="B17" s="12" t="s">
        <v>20</v>
      </c>
      <c r="C17"/>
      <c r="D17"/>
      <c r="E17"/>
      <c r="F17"/>
      <c r="G17"/>
      <c r="H17"/>
    </row>
    <row r="18" spans="2:9" outlineLevel="1" x14ac:dyDescent="0.2">
      <c r="B18" s="37" t="s">
        <v>19</v>
      </c>
      <c r="C18"/>
      <c r="D18"/>
      <c r="E18"/>
      <c r="F18"/>
      <c r="G18"/>
      <c r="H18"/>
      <c r="I18"/>
    </row>
    <row r="19" spans="2:9" outlineLevel="1" x14ac:dyDescent="0.2">
      <c r="B19" s="12" t="s">
        <v>20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outlineLevel="1" x14ac:dyDescent="0.2">
      <c r="B24"/>
      <c r="C24"/>
      <c r="D24"/>
      <c r="E24"/>
      <c r="F24"/>
      <c r="G24"/>
      <c r="H24"/>
      <c r="I24"/>
    </row>
    <row r="25" spans="2:9" outlineLevel="1" x14ac:dyDescent="0.2">
      <c r="B25"/>
      <c r="C25"/>
      <c r="D25"/>
      <c r="E25"/>
      <c r="F25"/>
      <c r="G25"/>
      <c r="H25"/>
      <c r="I25"/>
    </row>
    <row r="26" spans="2:9" outlineLevel="1" x14ac:dyDescent="0.2">
      <c r="B26" s="13" t="s">
        <v>21</v>
      </c>
      <c r="C26"/>
      <c r="D26"/>
      <c r="E26"/>
      <c r="F26"/>
      <c r="G26"/>
      <c r="H26"/>
      <c r="I26"/>
    </row>
    <row r="27" spans="2:9" outlineLevel="1" x14ac:dyDescent="0.2">
      <c r="B27" s="12" t="str">
        <f>CLEAN(B13)</f>
        <v>PROGRAF</v>
      </c>
      <c r="C27"/>
      <c r="D27"/>
      <c r="E27"/>
      <c r="F27"/>
      <c r="G27"/>
      <c r="H27"/>
      <c r="I27"/>
    </row>
    <row r="28" spans="2:9" outlineLevel="1" x14ac:dyDescent="0.2">
      <c r="B28" s="10" t="str">
        <f t="shared" ref="B28:B33" si="0">CLEAN(B14)</f>
        <v>PARIET</v>
      </c>
      <c r="C28"/>
      <c r="D28"/>
      <c r="E28"/>
      <c r="F28"/>
      <c r="G28"/>
      <c r="H28"/>
      <c r="I28"/>
    </row>
    <row r="29" spans="2:9" outlineLevel="1" x14ac:dyDescent="0.2">
      <c r="B29" s="12" t="str">
        <f t="shared" si="0"/>
        <v>CONCERTA</v>
      </c>
      <c r="C29"/>
      <c r="D29"/>
      <c r="E29"/>
      <c r="F29"/>
      <c r="G29"/>
      <c r="H29"/>
      <c r="I29"/>
    </row>
    <row r="30" spans="2:9" outlineLevel="1" x14ac:dyDescent="0.2">
      <c r="B30" s="10" t="str">
        <f t="shared" si="0"/>
        <v>LEUSTATIN</v>
      </c>
      <c r="C30"/>
      <c r="D30"/>
      <c r="E30"/>
      <c r="F30"/>
      <c r="G30"/>
      <c r="H30"/>
      <c r="I30"/>
    </row>
    <row r="31" spans="2:9" outlineLevel="1" x14ac:dyDescent="0.2">
      <c r="B31" s="12" t="str">
        <f t="shared" si="0"/>
        <v>VELCADE</v>
      </c>
      <c r="C31"/>
      <c r="D31"/>
      <c r="E31"/>
      <c r="F31"/>
      <c r="G31"/>
      <c r="H31"/>
      <c r="I31"/>
    </row>
    <row r="32" spans="2:9" outlineLevel="1" x14ac:dyDescent="0.2">
      <c r="B32" s="10" t="str">
        <f t="shared" si="0"/>
        <v>LEUSTATIN</v>
      </c>
      <c r="C32"/>
      <c r="D32"/>
      <c r="E32"/>
      <c r="F32"/>
    </row>
    <row r="33" spans="2:8" outlineLevel="1" x14ac:dyDescent="0.2">
      <c r="B33" s="12" t="str">
        <f t="shared" si="0"/>
        <v>VELCADE</v>
      </c>
      <c r="C33"/>
      <c r="D33"/>
      <c r="E33"/>
      <c r="F33"/>
    </row>
    <row r="34" spans="2:8" outlineLevel="1" x14ac:dyDescent="0.2"/>
    <row r="35" spans="2:8" ht="18.75" x14ac:dyDescent="0.3">
      <c r="B35" s="5" t="s">
        <v>86</v>
      </c>
    </row>
    <row r="36" spans="2:8" ht="16.149999999999999" customHeight="1" outlineLevel="1" x14ac:dyDescent="0.3">
      <c r="B36" s="5"/>
    </row>
    <row r="37" spans="2:8" ht="18" customHeight="1" outlineLevel="1" x14ac:dyDescent="0.2">
      <c r="B37" s="38" t="s">
        <v>70</v>
      </c>
      <c r="C37" s="38"/>
      <c r="D37" s="38"/>
      <c r="E37" s="38"/>
    </row>
    <row r="38" spans="2:8" ht="13.15" customHeight="1" outlineLevel="1" x14ac:dyDescent="0.2">
      <c r="B38" s="38"/>
      <c r="C38" s="38"/>
      <c r="D38" s="38"/>
      <c r="E38" s="38"/>
      <c r="F38"/>
      <c r="G38"/>
      <c r="H38"/>
    </row>
    <row r="39" spans="2:8" outlineLevel="1" x14ac:dyDescent="0.2">
      <c r="F39"/>
      <c r="G39"/>
      <c r="H39"/>
    </row>
    <row r="40" spans="2:8" outlineLevel="1" x14ac:dyDescent="0.2">
      <c r="B40" s="8" t="s">
        <v>12</v>
      </c>
      <c r="F40"/>
      <c r="G40"/>
      <c r="H40"/>
    </row>
    <row r="41" spans="2:8" outlineLevel="1" x14ac:dyDescent="0.2">
      <c r="B41" s="10" t="s">
        <v>87</v>
      </c>
      <c r="F41"/>
      <c r="G41"/>
      <c r="H41"/>
    </row>
    <row r="42" spans="2:8" outlineLevel="1" x14ac:dyDescent="0.2">
      <c r="B42" s="10" t="s">
        <v>88</v>
      </c>
      <c r="F42"/>
      <c r="G42"/>
      <c r="H42"/>
    </row>
    <row r="43" spans="2:8" outlineLevel="1" x14ac:dyDescent="0.2">
      <c r="B43" s="10" t="s">
        <v>89</v>
      </c>
      <c r="F43"/>
      <c r="G43"/>
      <c r="H43"/>
    </row>
    <row r="44" spans="2:8" outlineLevel="1" x14ac:dyDescent="0.2">
      <c r="B44" s="10" t="s">
        <v>90</v>
      </c>
      <c r="F44"/>
      <c r="G44"/>
      <c r="H44"/>
    </row>
    <row r="45" spans="2:8" outlineLevel="1" x14ac:dyDescent="0.2">
      <c r="B45" s="10" t="s">
        <v>91</v>
      </c>
      <c r="F45"/>
      <c r="G45"/>
      <c r="H45"/>
    </row>
    <row r="46" spans="2:8" outlineLevel="1" x14ac:dyDescent="0.2">
      <c r="B46" s="10" t="s">
        <v>92</v>
      </c>
      <c r="F46"/>
      <c r="G46"/>
      <c r="H46"/>
    </row>
    <row r="47" spans="2:8" s="44" customFormat="1" ht="17.25" customHeight="1" outlineLevel="1" x14ac:dyDescent="0.2">
      <c r="F47" s="45"/>
      <c r="G47" s="45"/>
      <c r="H47" s="45"/>
    </row>
    <row r="48" spans="2:8" s="44" customFormat="1" ht="17.25" customHeight="1" outlineLevel="1" x14ac:dyDescent="0.2">
      <c r="B48" s="46" t="s">
        <v>13</v>
      </c>
      <c r="C48" s="46" t="s">
        <v>14</v>
      </c>
      <c r="D48" s="46" t="s">
        <v>15</v>
      </c>
      <c r="E48" s="46" t="s">
        <v>69</v>
      </c>
      <c r="F48" s="45"/>
      <c r="G48" s="45"/>
    </row>
    <row r="49" spans="2:7" s="44" customFormat="1" ht="17.25" customHeight="1" outlineLevel="1" x14ac:dyDescent="0.2">
      <c r="B49" s="47" t="s">
        <v>41</v>
      </c>
      <c r="C49" s="47" t="s">
        <v>42</v>
      </c>
      <c r="D49" s="47" t="s">
        <v>94</v>
      </c>
      <c r="E49" s="47" t="s">
        <v>43</v>
      </c>
      <c r="F49" s="45"/>
      <c r="G49" s="45"/>
    </row>
    <row r="50" spans="2:7" s="44" customFormat="1" ht="17.25" customHeight="1" outlineLevel="1" x14ac:dyDescent="0.2">
      <c r="B50" s="44" t="s">
        <v>44</v>
      </c>
      <c r="C50" s="44" t="s">
        <v>45</v>
      </c>
      <c r="D50" s="44" t="s">
        <v>95</v>
      </c>
      <c r="E50" s="44" t="s">
        <v>46</v>
      </c>
      <c r="F50" s="45"/>
      <c r="G50" s="45"/>
    </row>
    <row r="51" spans="2:7" s="44" customFormat="1" ht="17.25" customHeight="1" outlineLevel="1" x14ac:dyDescent="0.2">
      <c r="B51" s="47" t="s">
        <v>47</v>
      </c>
      <c r="C51" s="47" t="s">
        <v>48</v>
      </c>
      <c r="D51" s="47" t="s">
        <v>96</v>
      </c>
      <c r="E51" s="47" t="s">
        <v>49</v>
      </c>
      <c r="F51" s="45"/>
      <c r="G51" s="45"/>
    </row>
    <row r="52" spans="2:7" s="44" customFormat="1" ht="17.25" customHeight="1" outlineLevel="1" x14ac:dyDescent="0.2">
      <c r="B52" s="44" t="s">
        <v>50</v>
      </c>
      <c r="C52" s="44" t="s">
        <v>51</v>
      </c>
      <c r="D52" s="44" t="s">
        <v>97</v>
      </c>
      <c r="E52" s="44" t="s">
        <v>52</v>
      </c>
      <c r="F52" s="45"/>
      <c r="G52" s="45"/>
    </row>
    <row r="53" spans="2:7" s="44" customFormat="1" ht="17.25" customHeight="1" outlineLevel="1" x14ac:dyDescent="0.2">
      <c r="B53" s="47" t="s">
        <v>53</v>
      </c>
      <c r="C53" s="47" t="s">
        <v>54</v>
      </c>
      <c r="D53" s="47" t="s">
        <v>98</v>
      </c>
      <c r="E53" s="47" t="s">
        <v>43</v>
      </c>
    </row>
    <row r="54" spans="2:7" s="44" customFormat="1" ht="17.25" customHeight="1" outlineLevel="1" x14ac:dyDescent="0.2">
      <c r="B54" s="44" t="s">
        <v>67</v>
      </c>
      <c r="C54" s="44" t="s">
        <v>68</v>
      </c>
      <c r="D54" s="44" t="s">
        <v>99</v>
      </c>
      <c r="E54" s="44" t="s">
        <v>43</v>
      </c>
    </row>
    <row r="55" spans="2:7" s="44" customFormat="1" ht="17.25" customHeight="1" outlineLevel="1" x14ac:dyDescent="0.2"/>
    <row r="56" spans="2:7" outlineLevel="1" x14ac:dyDescent="0.2"/>
    <row r="57" spans="2:7" outlineLevel="1" x14ac:dyDescent="0.2"/>
  </sheetData>
  <autoFilter ref="B12:B19"/>
  <mergeCells count="2">
    <mergeCell ref="B9:D10"/>
    <mergeCell ref="B37:E38"/>
  </mergeCells>
  <hyperlinks>
    <hyperlink ref="B43" r:id="rId1" display="Beth_Summers_beth.summers@pwc.com_associate"/>
    <hyperlink ref="B45" r:id="rId2" display="Jenna_Stone_Jenne.Stone@pwc.com_Manager"/>
    <hyperlink ref="B46" r:id="rId3" display="Quinn_Cook_Quinn.Cook@pwc.com_Manager"/>
  </hyperlinks>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4099" r:id="rId7" name="Button 3">
              <controlPr defaultSize="0" print="0" autoFill="0" autoPict="0" macro="[0]!ThisWorkbook.Import_Send_To_1A">
                <anchor moveWithCells="1" sizeWithCells="1">
                  <from>
                    <xdr:col>2</xdr:col>
                    <xdr:colOff>781050</xdr:colOff>
                    <xdr:row>19</xdr:row>
                    <xdr:rowOff>66675</xdr:rowOff>
                  </from>
                  <to>
                    <xdr:col>2</xdr:col>
                    <xdr:colOff>2305050</xdr:colOff>
                    <xdr:row>22</xdr:row>
                    <xdr:rowOff>114300</xdr:rowOff>
                  </to>
                </anchor>
              </controlPr>
            </control>
          </mc:Choice>
        </mc:AlternateContent>
        <mc:AlternateContent xmlns:mc="http://schemas.openxmlformats.org/markup-compatibility/2006">
          <mc:Choice Requires="x14">
            <control shapeId="4100" r:id="rId8" name="Button 4">
              <controlPr defaultSize="0" print="0" autoFill="0" autoPict="0" macro="[0]!ThisWorkbook.Import_Send_To_1B">
                <anchor moveWithCells="1" sizeWithCells="1">
                  <from>
                    <xdr:col>3</xdr:col>
                    <xdr:colOff>609600</xdr:colOff>
                    <xdr:row>39</xdr:row>
                    <xdr:rowOff>142875</xdr:rowOff>
                  </from>
                  <to>
                    <xdr:col>4</xdr:col>
                    <xdr:colOff>276225</xdr:colOff>
                    <xdr:row>43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P57"/>
  <sheetViews>
    <sheetView showGridLines="0" topLeftCell="A13" zoomScale="80" zoomScaleNormal="80" workbookViewId="0">
      <selection activeCell="D27" sqref="D27"/>
    </sheetView>
  </sheetViews>
  <sheetFormatPr defaultColWidth="9.33203125" defaultRowHeight="12.75" outlineLevelRow="1" x14ac:dyDescent="0.2"/>
  <cols>
    <col min="1" max="1" width="9.33203125" style="2"/>
    <col min="2" max="2" width="24.6640625" style="2" customWidth="1"/>
    <col min="3" max="3" width="52.6640625" style="2" customWidth="1"/>
    <col min="4" max="4" width="34.5" style="2" customWidth="1"/>
    <col min="5" max="5" width="25.5" style="2" customWidth="1"/>
    <col min="6" max="6" width="18.332031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1 - Import (ANS)</v>
      </c>
    </row>
    <row r="5" spans="1:16" x14ac:dyDescent="0.2">
      <c r="P5" s="6"/>
    </row>
    <row r="7" spans="1:16" ht="18.75" x14ac:dyDescent="0.3">
      <c r="B7" s="5" t="s">
        <v>85</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21</v>
      </c>
      <c r="C12"/>
      <c r="D12"/>
      <c r="E12"/>
      <c r="F12"/>
      <c r="G12"/>
      <c r="H12"/>
    </row>
    <row r="13" spans="1:16" outlineLevel="1" x14ac:dyDescent="0.2">
      <c r="B13" s="12" t="s">
        <v>16</v>
      </c>
      <c r="C13"/>
      <c r="D13" s="30"/>
      <c r="E13"/>
      <c r="F13"/>
      <c r="G13"/>
      <c r="H13"/>
    </row>
    <row r="14" spans="1:16" outlineLevel="1" x14ac:dyDescent="0.2">
      <c r="B14" s="10" t="s">
        <v>17</v>
      </c>
      <c r="C14"/>
      <c r="D14"/>
      <c r="E14"/>
      <c r="F14"/>
      <c r="G14"/>
      <c r="H14"/>
    </row>
    <row r="15" spans="1:16" outlineLevel="1" x14ac:dyDescent="0.2">
      <c r="B15" s="12" t="s">
        <v>18</v>
      </c>
      <c r="C15"/>
      <c r="D15"/>
      <c r="E15"/>
      <c r="F15"/>
      <c r="G15"/>
      <c r="H15"/>
    </row>
    <row r="16" spans="1:16" outlineLevel="1" x14ac:dyDescent="0.2">
      <c r="B16" s="10" t="s">
        <v>19</v>
      </c>
      <c r="C16"/>
      <c r="D16"/>
      <c r="E16"/>
      <c r="F16"/>
      <c r="G16"/>
      <c r="H16"/>
    </row>
    <row r="17" spans="2:9" outlineLevel="1" x14ac:dyDescent="0.2">
      <c r="B17" s="12" t="s">
        <v>20</v>
      </c>
      <c r="C17"/>
      <c r="D17"/>
      <c r="E17"/>
      <c r="F17"/>
      <c r="G17"/>
      <c r="H17"/>
    </row>
    <row r="18" spans="2:9" outlineLevel="1" x14ac:dyDescent="0.2">
      <c r="B18" s="10" t="s">
        <v>19</v>
      </c>
      <c r="C18"/>
      <c r="D18"/>
      <c r="E18"/>
      <c r="F18"/>
      <c r="G18"/>
      <c r="H18"/>
      <c r="I18"/>
    </row>
    <row r="19" spans="2:9" outlineLevel="1" x14ac:dyDescent="0.2">
      <c r="B19" s="12" t="s">
        <v>20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outlineLevel="1" x14ac:dyDescent="0.2">
      <c r="B24"/>
      <c r="C24"/>
      <c r="D24"/>
      <c r="E24"/>
      <c r="F24"/>
      <c r="G24"/>
      <c r="H24"/>
      <c r="I24"/>
    </row>
    <row r="25" spans="2:9" outlineLevel="1" x14ac:dyDescent="0.2">
      <c r="B25"/>
      <c r="C25"/>
      <c r="D25"/>
      <c r="E25"/>
      <c r="F25"/>
      <c r="G25"/>
      <c r="H25"/>
      <c r="I25"/>
    </row>
    <row r="26" spans="2:9" outlineLevel="1" x14ac:dyDescent="0.2">
      <c r="B26" s="13"/>
      <c r="C26"/>
      <c r="D26"/>
      <c r="E26"/>
      <c r="F26"/>
      <c r="G26"/>
      <c r="H26"/>
      <c r="I26"/>
    </row>
    <row r="27" spans="2:9" outlineLevel="1" x14ac:dyDescent="0.2">
      <c r="B27" s="12" t="str">
        <f>CLEAN(B13)</f>
        <v>PROGRAF</v>
      </c>
      <c r="C27"/>
      <c r="D27"/>
      <c r="E27"/>
      <c r="F27"/>
      <c r="G27"/>
      <c r="H27"/>
      <c r="I27"/>
    </row>
    <row r="28" spans="2:9" outlineLevel="1" x14ac:dyDescent="0.2">
      <c r="B28" s="10" t="str">
        <f t="shared" ref="B28:B33" si="0">CLEAN(B14)</f>
        <v>PARIET</v>
      </c>
      <c r="C28"/>
      <c r="D28"/>
      <c r="E28"/>
      <c r="F28"/>
      <c r="G28"/>
      <c r="H28"/>
      <c r="I28"/>
    </row>
    <row r="29" spans="2:9" outlineLevel="1" x14ac:dyDescent="0.2">
      <c r="B29" s="12" t="str">
        <f t="shared" si="0"/>
        <v>CONCERTA</v>
      </c>
      <c r="C29"/>
      <c r="D29"/>
      <c r="E29"/>
      <c r="F29"/>
      <c r="G29"/>
      <c r="H29"/>
      <c r="I29"/>
    </row>
    <row r="30" spans="2:9" outlineLevel="1" x14ac:dyDescent="0.2">
      <c r="B30" s="10" t="str">
        <f t="shared" si="0"/>
        <v>LEUSTATIN</v>
      </c>
      <c r="C30"/>
      <c r="D30"/>
      <c r="E30"/>
      <c r="F30"/>
      <c r="G30"/>
      <c r="H30"/>
      <c r="I30"/>
    </row>
    <row r="31" spans="2:9" outlineLevel="1" x14ac:dyDescent="0.2">
      <c r="B31" s="12" t="str">
        <f t="shared" si="0"/>
        <v>VELCADE</v>
      </c>
      <c r="C31"/>
      <c r="D31"/>
      <c r="E31"/>
      <c r="F31"/>
      <c r="G31"/>
      <c r="H31"/>
      <c r="I31"/>
    </row>
    <row r="32" spans="2:9" outlineLevel="1" x14ac:dyDescent="0.2">
      <c r="B32" s="10" t="str">
        <f t="shared" si="0"/>
        <v>LEUSTATIN</v>
      </c>
      <c r="C32"/>
      <c r="D32"/>
      <c r="E32"/>
      <c r="F32"/>
    </row>
    <row r="33" spans="2:8" outlineLevel="1" x14ac:dyDescent="0.2">
      <c r="B33" s="12" t="str">
        <f t="shared" si="0"/>
        <v>VELCADE</v>
      </c>
      <c r="C33"/>
      <c r="D33"/>
      <c r="E33"/>
      <c r="F33"/>
    </row>
    <row r="34" spans="2:8" outlineLevel="1" x14ac:dyDescent="0.2"/>
    <row r="35" spans="2:8" ht="18.75" x14ac:dyDescent="0.3">
      <c r="B35" s="5" t="s">
        <v>86</v>
      </c>
    </row>
    <row r="36" spans="2:8" ht="16.149999999999999" customHeight="1" outlineLevel="1" x14ac:dyDescent="0.3">
      <c r="B36" s="5"/>
    </row>
    <row r="37" spans="2:8" ht="18" customHeight="1" outlineLevel="1" x14ac:dyDescent="0.2">
      <c r="B37" s="38" t="s">
        <v>55</v>
      </c>
      <c r="C37" s="38"/>
      <c r="D37" s="38"/>
      <c r="E37" s="38"/>
    </row>
    <row r="38" spans="2:8" ht="13.15" customHeight="1" outlineLevel="1" x14ac:dyDescent="0.2">
      <c r="B38" s="38"/>
      <c r="C38" s="38"/>
      <c r="D38" s="38"/>
      <c r="E38" s="38"/>
      <c r="F38"/>
      <c r="G38"/>
      <c r="H38"/>
    </row>
    <row r="39" spans="2:8" outlineLevel="1" x14ac:dyDescent="0.2">
      <c r="F39"/>
      <c r="G39"/>
      <c r="H39"/>
    </row>
    <row r="40" spans="2:8" outlineLevel="1" x14ac:dyDescent="0.2">
      <c r="B40" s="8" t="s">
        <v>12</v>
      </c>
      <c r="F40"/>
      <c r="G40"/>
      <c r="H40"/>
    </row>
    <row r="41" spans="2:8" outlineLevel="1" x14ac:dyDescent="0.2">
      <c r="B41" s="10" t="s">
        <v>72</v>
      </c>
      <c r="F41"/>
      <c r="G41"/>
      <c r="H41"/>
    </row>
    <row r="42" spans="2:8" outlineLevel="1" x14ac:dyDescent="0.2">
      <c r="B42" s="10" t="s">
        <v>73</v>
      </c>
      <c r="F42"/>
      <c r="G42"/>
      <c r="H42"/>
    </row>
    <row r="43" spans="2:8" outlineLevel="1" x14ac:dyDescent="0.2">
      <c r="B43" s="10" t="s">
        <v>74</v>
      </c>
      <c r="F43"/>
      <c r="G43"/>
      <c r="H43"/>
    </row>
    <row r="44" spans="2:8" outlineLevel="1" x14ac:dyDescent="0.2">
      <c r="B44" s="10" t="s">
        <v>75</v>
      </c>
      <c r="F44"/>
      <c r="G44"/>
      <c r="H44"/>
    </row>
    <row r="45" spans="2:8" outlineLevel="1" x14ac:dyDescent="0.2">
      <c r="B45" s="10" t="s">
        <v>76</v>
      </c>
      <c r="F45"/>
      <c r="G45"/>
      <c r="H45"/>
    </row>
    <row r="46" spans="2:8" outlineLevel="1" x14ac:dyDescent="0.2">
      <c r="B46" s="10" t="s">
        <v>77</v>
      </c>
      <c r="F46"/>
      <c r="G46"/>
      <c r="H46"/>
    </row>
    <row r="47" spans="2:8" outlineLevel="1" x14ac:dyDescent="0.2">
      <c r="F47"/>
      <c r="G47"/>
      <c r="H47"/>
    </row>
    <row r="48" spans="2:8" outlineLevel="1" x14ac:dyDescent="0.2">
      <c r="B48" s="13" t="s">
        <v>13</v>
      </c>
      <c r="C48" s="13" t="s">
        <v>14</v>
      </c>
      <c r="D48" s="13" t="s">
        <v>15</v>
      </c>
      <c r="E48" s="13" t="s">
        <v>69</v>
      </c>
      <c r="F48"/>
      <c r="G48"/>
    </row>
    <row r="49" spans="2:7" outlineLevel="1" x14ac:dyDescent="0.2">
      <c r="B49" s="9" t="s">
        <v>41</v>
      </c>
      <c r="C49" s="9" t="s">
        <v>42</v>
      </c>
      <c r="D49" s="9" t="s">
        <v>94</v>
      </c>
      <c r="E49" s="9" t="s">
        <v>43</v>
      </c>
      <c r="F49"/>
      <c r="G49"/>
    </row>
    <row r="50" spans="2:7" outlineLevel="1" x14ac:dyDescent="0.2">
      <c r="B50" s="2" t="s">
        <v>44</v>
      </c>
      <c r="C50" s="2" t="s">
        <v>45</v>
      </c>
      <c r="D50" s="2" t="s">
        <v>95</v>
      </c>
      <c r="E50" s="2" t="s">
        <v>46</v>
      </c>
      <c r="F50"/>
      <c r="G50"/>
    </row>
    <row r="51" spans="2:7" outlineLevel="1" x14ac:dyDescent="0.2">
      <c r="B51" s="9" t="s">
        <v>47</v>
      </c>
      <c r="C51" s="9" t="s">
        <v>48</v>
      </c>
      <c r="D51" s="9" t="s">
        <v>96</v>
      </c>
      <c r="E51" s="9" t="s">
        <v>49</v>
      </c>
      <c r="F51"/>
      <c r="G51"/>
    </row>
    <row r="52" spans="2:7" outlineLevel="1" x14ac:dyDescent="0.2">
      <c r="B52" s="2" t="s">
        <v>50</v>
      </c>
      <c r="C52" s="2" t="s">
        <v>51</v>
      </c>
      <c r="D52" s="2" t="s">
        <v>97</v>
      </c>
      <c r="E52" s="2" t="s">
        <v>52</v>
      </c>
      <c r="F52"/>
      <c r="G52"/>
    </row>
    <row r="53" spans="2:7" outlineLevel="1" x14ac:dyDescent="0.2">
      <c r="B53" s="9" t="s">
        <v>53</v>
      </c>
      <c r="C53" s="9" t="s">
        <v>54</v>
      </c>
      <c r="D53" s="9" t="s">
        <v>98</v>
      </c>
      <c r="E53" s="9" t="s">
        <v>43</v>
      </c>
    </row>
    <row r="54" spans="2:7" outlineLevel="1" x14ac:dyDescent="0.2">
      <c r="B54" s="2" t="s">
        <v>67</v>
      </c>
      <c r="C54" s="2" t="s">
        <v>68</v>
      </c>
      <c r="D54" s="2" t="s">
        <v>99</v>
      </c>
      <c r="E54" s="2" t="s">
        <v>43</v>
      </c>
    </row>
    <row r="55" spans="2:7" outlineLevel="1" x14ac:dyDescent="0.2"/>
    <row r="56" spans="2:7" outlineLevel="1" x14ac:dyDescent="0.2"/>
    <row r="57" spans="2:7" outlineLevel="1" x14ac:dyDescent="0.2"/>
  </sheetData>
  <mergeCells count="2">
    <mergeCell ref="B9:D10"/>
    <mergeCell ref="B37:E38"/>
  </mergeCells>
  <hyperlinks>
    <hyperlink ref="B43" r:id="rId1" display="Beth_Summers_beth.summers@pwc.com_associate"/>
    <hyperlink ref="B45" r:id="rId2" display="Jenna_Stone_Jenne.Stone@pwc.com_Manager"/>
    <hyperlink ref="B46" r:id="rId3" display="Quinn_Cook_Quinn.Cook@pwc.com_Manager"/>
  </hyperlinks>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5123" r:id="rId7" name="Button 3">
              <controlPr defaultSize="0" print="0" autoFill="0" autoPict="0" macro="[0]!ThisWorkbook.Import_Instruction_Send_To_1A">
                <anchor moveWithCells="1" sizeWithCells="1">
                  <from>
                    <xdr:col>2</xdr:col>
                    <xdr:colOff>304800</xdr:colOff>
                    <xdr:row>13</xdr:row>
                    <xdr:rowOff>104775</xdr:rowOff>
                  </from>
                  <to>
                    <xdr:col>2</xdr:col>
                    <xdr:colOff>1828800</xdr:colOff>
                    <xdr:row>16</xdr:row>
                    <xdr:rowOff>152400</xdr:rowOff>
                  </to>
                </anchor>
              </controlPr>
            </control>
          </mc:Choice>
        </mc:AlternateContent>
        <mc:AlternateContent xmlns:mc="http://schemas.openxmlformats.org/markup-compatibility/2006">
          <mc:Choice Requires="x14">
            <control shapeId="5124" r:id="rId8" name="Button 4">
              <controlPr defaultSize="0" print="0" autoFill="0" autoPict="0" macro="[0]!ThisWorkbook.Import_Instruction_Send_To_1B">
                <anchor moveWithCells="1" sizeWithCells="1">
                  <from>
                    <xdr:col>2</xdr:col>
                    <xdr:colOff>2724150</xdr:colOff>
                    <xdr:row>38</xdr:row>
                    <xdr:rowOff>142875</xdr:rowOff>
                  </from>
                  <to>
                    <xdr:col>3</xdr:col>
                    <xdr:colOff>1247775</xdr:colOff>
                    <xdr:row>42</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35"/>
  <sheetViews>
    <sheetView showGridLines="0" topLeftCell="A10" zoomScale="80" zoomScaleNormal="80" workbookViewId="0">
      <selection activeCell="C26" sqref="C26"/>
    </sheetView>
  </sheetViews>
  <sheetFormatPr defaultColWidth="9.33203125" defaultRowHeight="12.75" outlineLevelRow="1" x14ac:dyDescent="0.2"/>
  <cols>
    <col min="1" max="1" width="9.33203125" style="2"/>
    <col min="2" max="2" width="58.83203125" style="2" bestFit="1" customWidth="1"/>
    <col min="3" max="3" width="29.1640625" style="2" customWidth="1"/>
    <col min="4" max="4" width="9.5" style="2" customWidth="1"/>
    <col min="5" max="5" width="25.5" style="2" customWidth="1"/>
    <col min="6" max="6" width="18.332031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2 - Trim</v>
      </c>
    </row>
    <row r="5" spans="1:16" x14ac:dyDescent="0.2">
      <c r="P5" s="6"/>
    </row>
    <row r="7" spans="1:16" ht="18.75" x14ac:dyDescent="0.3">
      <c r="B7" s="5" t="s">
        <v>93</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s="40" customFormat="1" ht="19.5" customHeight="1" outlineLevel="1" x14ac:dyDescent="0.2">
      <c r="B24" s="42" t="s">
        <v>9</v>
      </c>
      <c r="C24" s="41"/>
      <c r="D24" s="41"/>
      <c r="E24" s="41"/>
      <c r="F24" s="41"/>
      <c r="G24" s="41"/>
      <c r="H24" s="41"/>
      <c r="I24" s="41"/>
    </row>
    <row r="25" spans="2:9" s="40" customFormat="1" ht="19.5" customHeight="1" outlineLevel="1" x14ac:dyDescent="0.2">
      <c r="B25" s="43" t="str">
        <f>TRIM(B13)</f>
        <v>PROGRAF 5MG 50CAPSULAS PROIBID</v>
      </c>
      <c r="C25" s="41"/>
      <c r="D25" s="41"/>
      <c r="E25" s="41"/>
      <c r="F25" s="41"/>
      <c r="G25" s="41"/>
      <c r="H25" s="41"/>
      <c r="I25" s="41"/>
    </row>
    <row r="26" spans="2:9" s="40" customFormat="1" ht="19.5" customHeight="1" outlineLevel="1" x14ac:dyDescent="0.2">
      <c r="B26" s="40" t="str">
        <f t="shared" ref="B26:B31" si="0">TRIM(B14)</f>
        <v>PARIET 20 MG 28 CP OR</v>
      </c>
      <c r="C26" s="41"/>
      <c r="D26" s="41"/>
      <c r="E26" s="41"/>
      <c r="F26" s="41"/>
      <c r="G26" s="41"/>
      <c r="H26" s="41"/>
      <c r="I26" s="41"/>
    </row>
    <row r="27" spans="2:9" s="40" customFormat="1" ht="19.5" customHeight="1" outlineLevel="1" x14ac:dyDescent="0.2">
      <c r="B27" s="43" t="str">
        <f t="shared" si="0"/>
        <v>CONCERTA 54MG FR 30CP OR</v>
      </c>
      <c r="C27" s="41"/>
      <c r="D27" s="41"/>
      <c r="E27" s="41"/>
      <c r="F27" s="41"/>
      <c r="G27" s="41"/>
      <c r="H27" s="41"/>
      <c r="I27" s="41"/>
    </row>
    <row r="28" spans="2:9" s="40" customFormat="1" ht="19.5" customHeight="1" outlineLevel="1" x14ac:dyDescent="0.2">
      <c r="B28" s="40" t="str">
        <f t="shared" si="0"/>
        <v>LEUSTATIN INJ CT C/ 1 FR AMP</v>
      </c>
      <c r="C28" s="41"/>
      <c r="D28" s="41"/>
      <c r="E28" s="41"/>
      <c r="F28" s="41"/>
      <c r="G28" s="41"/>
      <c r="H28" s="41"/>
      <c r="I28" s="41"/>
    </row>
    <row r="29" spans="2:9" s="40" customFormat="1" ht="19.5" customHeight="1" outlineLevel="1" x14ac:dyDescent="0.2">
      <c r="B29" s="43" t="str">
        <f t="shared" si="0"/>
        <v>VELCADE 3,5 MG OR</v>
      </c>
      <c r="C29" s="41"/>
      <c r="D29" s="41"/>
      <c r="E29" s="41"/>
      <c r="F29" s="41"/>
      <c r="G29" s="41"/>
      <c r="H29" s="41"/>
      <c r="I29" s="41"/>
    </row>
    <row r="30" spans="2:9" s="40" customFormat="1" ht="19.5" customHeight="1" outlineLevel="1" x14ac:dyDescent="0.2">
      <c r="B30" s="40" t="str">
        <f t="shared" si="0"/>
        <v>LEUSTATIN INJ CT C/ 1 FR AMP</v>
      </c>
      <c r="C30" s="41"/>
      <c r="D30" s="41"/>
      <c r="E30" s="41"/>
      <c r="F30" s="41"/>
    </row>
    <row r="31" spans="2:9" s="40" customFormat="1" ht="19.5" customHeight="1" outlineLevel="1" x14ac:dyDescent="0.2">
      <c r="B31" s="43" t="str">
        <f t="shared" si="0"/>
        <v>VELCADE 3,5 MG OR</v>
      </c>
      <c r="C31" s="41"/>
      <c r="D31" s="41"/>
      <c r="E31" s="41"/>
      <c r="F31" s="41"/>
    </row>
    <row r="32" spans="2:9" outlineLevel="1" x14ac:dyDescent="0.2"/>
    <row r="33" outlineLevel="1" x14ac:dyDescent="0.2"/>
    <row r="34" outlineLevel="1" x14ac:dyDescent="0.2"/>
    <row r="35" outlineLevel="1"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ThisWorkbook.Trim_Send_To_2A">
                <anchor moveWithCells="1" sizeWithCells="1">
                  <from>
                    <xdr:col>2</xdr:col>
                    <xdr:colOff>638175</xdr:colOff>
                    <xdr:row>14</xdr:row>
                    <xdr:rowOff>57150</xdr:rowOff>
                  </from>
                  <to>
                    <xdr:col>3</xdr:col>
                    <xdr:colOff>495300</xdr:colOff>
                    <xdr:row>17</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39997558519241921"/>
  </sheetPr>
  <dimension ref="A1:P35"/>
  <sheetViews>
    <sheetView showGridLines="0" zoomScale="80" zoomScaleNormal="80" workbookViewId="0">
      <selection activeCell="C21" sqref="C21"/>
    </sheetView>
  </sheetViews>
  <sheetFormatPr defaultColWidth="9.33203125" defaultRowHeight="12.75" outlineLevelRow="1" x14ac:dyDescent="0.2"/>
  <cols>
    <col min="1" max="1" width="9.33203125" style="2"/>
    <col min="2" max="2" width="58.83203125" style="2" bestFit="1" customWidth="1"/>
    <col min="3" max="3" width="52.6640625" style="2" customWidth="1"/>
    <col min="4" max="4" width="32.5" style="2" customWidth="1"/>
    <col min="5" max="5" width="25.5" style="2" customWidth="1"/>
    <col min="6" max="6" width="18.332031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2 - Trim (ANS)</v>
      </c>
    </row>
    <row r="5" spans="1:16" x14ac:dyDescent="0.2">
      <c r="P5" s="6"/>
    </row>
    <row r="7" spans="1:16" ht="18.75" x14ac:dyDescent="0.3">
      <c r="B7" s="5" t="s">
        <v>93</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c r="C23"/>
      <c r="D23"/>
      <c r="E23"/>
      <c r="F23"/>
      <c r="G23"/>
      <c r="H23"/>
      <c r="I23"/>
    </row>
    <row r="24" spans="2:9" outlineLevel="1" x14ac:dyDescent="0.2">
      <c r="B24" s="13" t="s">
        <v>9</v>
      </c>
      <c r="C24"/>
      <c r="D24"/>
      <c r="E24"/>
      <c r="F24"/>
      <c r="G24"/>
      <c r="H24"/>
      <c r="I24"/>
    </row>
    <row r="25" spans="2:9" outlineLevel="1" x14ac:dyDescent="0.2">
      <c r="B25" s="9" t="str">
        <f>TRIM(B13)</f>
        <v>PROGRAF 5MG 50CAPSULAS PROIBID</v>
      </c>
      <c r="C25"/>
      <c r="D25"/>
      <c r="E25"/>
      <c r="F25"/>
      <c r="G25"/>
      <c r="H25"/>
      <c r="I25"/>
    </row>
    <row r="26" spans="2:9" outlineLevel="1" x14ac:dyDescent="0.2">
      <c r="B26" s="2" t="str">
        <f t="shared" ref="B26:B31" si="0">TRIM(B14)</f>
        <v>PARIET 20 MG 28 CP OR</v>
      </c>
      <c r="C26"/>
      <c r="D26"/>
      <c r="E26"/>
      <c r="F26"/>
      <c r="G26"/>
      <c r="H26"/>
      <c r="I26"/>
    </row>
    <row r="27" spans="2:9" outlineLevel="1" x14ac:dyDescent="0.2">
      <c r="B27" s="9" t="str">
        <f t="shared" si="0"/>
        <v>CONCERTA 54MG FR 30CP OR</v>
      </c>
      <c r="C27"/>
      <c r="D27"/>
      <c r="E27"/>
      <c r="F27"/>
      <c r="G27"/>
      <c r="H27"/>
      <c r="I27"/>
    </row>
    <row r="28" spans="2:9" outlineLevel="1" x14ac:dyDescent="0.2">
      <c r="B28" s="2" t="str">
        <f t="shared" si="0"/>
        <v>LEUSTATIN INJ CT C/ 1 FR AMP</v>
      </c>
      <c r="C28"/>
      <c r="D28"/>
      <c r="E28"/>
      <c r="F28"/>
      <c r="G28"/>
      <c r="H28"/>
      <c r="I28"/>
    </row>
    <row r="29" spans="2:9" outlineLevel="1" x14ac:dyDescent="0.2">
      <c r="B29" s="9" t="str">
        <f t="shared" si="0"/>
        <v>VELCADE 3,5 MG OR</v>
      </c>
      <c r="C29"/>
      <c r="D29"/>
      <c r="E29"/>
      <c r="F29"/>
      <c r="G29"/>
      <c r="H29"/>
      <c r="I29"/>
    </row>
    <row r="30" spans="2:9" outlineLevel="1" x14ac:dyDescent="0.2">
      <c r="B30" s="2" t="str">
        <f t="shared" si="0"/>
        <v>LEUSTATIN INJ CT C/ 1 FR AMP</v>
      </c>
      <c r="C30"/>
      <c r="D30"/>
      <c r="E30"/>
      <c r="F30"/>
    </row>
    <row r="31" spans="2:9" outlineLevel="1" x14ac:dyDescent="0.2">
      <c r="B31" s="9" t="str">
        <f t="shared" si="0"/>
        <v>VELCADE 3,5 MG OR</v>
      </c>
      <c r="C31"/>
      <c r="D31"/>
      <c r="E31"/>
      <c r="F31"/>
    </row>
    <row r="32" spans="2:9" outlineLevel="1" x14ac:dyDescent="0.2"/>
    <row r="33" outlineLevel="1" x14ac:dyDescent="0.2"/>
    <row r="34" outlineLevel="1" x14ac:dyDescent="0.2"/>
    <row r="35" outlineLevel="1"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ThisWorkbook.Trim_Instruction_Send_To_2A">
                <anchor moveWithCells="1" sizeWithCells="1">
                  <from>
                    <xdr:col>2</xdr:col>
                    <xdr:colOff>409575</xdr:colOff>
                    <xdr:row>15</xdr:row>
                    <xdr:rowOff>19050</xdr:rowOff>
                  </from>
                  <to>
                    <xdr:col>2</xdr:col>
                    <xdr:colOff>1933575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0"/>
  <sheetViews>
    <sheetView showGridLines="0" topLeftCell="A32" zoomScale="80" workbookViewId="0">
      <selection activeCell="D50" sqref="D50"/>
    </sheetView>
  </sheetViews>
  <sheetFormatPr defaultColWidth="9.33203125" defaultRowHeight="12.75" outlineLevelRow="1" x14ac:dyDescent="0.2"/>
  <cols>
    <col min="1" max="1" width="9.33203125" style="2"/>
    <col min="2" max="2" width="58" style="2" bestFit="1" customWidth="1"/>
    <col min="3" max="3" width="52.6640625" style="2" customWidth="1"/>
    <col min="4" max="4" width="32.5" style="2" customWidth="1"/>
    <col min="5" max="5" width="25.5" style="2" customWidth="1"/>
    <col min="6" max="6" width="18.332031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3 - Substitute</v>
      </c>
    </row>
    <row r="5" spans="1:16" x14ac:dyDescent="0.2">
      <c r="P5" s="6"/>
    </row>
    <row r="7" spans="1:16" ht="18.75" x14ac:dyDescent="0.3">
      <c r="B7" s="5" t="s">
        <v>100</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s="40" customFormat="1" ht="19.5" customHeight="1" outlineLevel="1" x14ac:dyDescent="0.2">
      <c r="B23" s="42" t="s">
        <v>151</v>
      </c>
      <c r="C23" s="41"/>
      <c r="D23" s="41"/>
      <c r="E23" s="41"/>
      <c r="F23" s="41"/>
      <c r="G23" s="41"/>
      <c r="H23" s="41"/>
      <c r="I23" s="41"/>
    </row>
    <row r="24" spans="2:9" s="40" customFormat="1" ht="19.5" customHeight="1" outlineLevel="1" x14ac:dyDescent="0.2">
      <c r="B24" s="43" t="str">
        <f>TRIM(SUBSTITUTE(B13,",","."))</f>
        <v>PROGRAF 5MG 50CAPSULAS PROIBID</v>
      </c>
      <c r="C24" s="41"/>
      <c r="D24" s="41"/>
      <c r="E24" s="41"/>
      <c r="F24" s="41"/>
      <c r="G24" s="41"/>
      <c r="H24" s="41"/>
      <c r="I24" s="41"/>
    </row>
    <row r="25" spans="2:9" s="40" customFormat="1" ht="19.5" customHeight="1" outlineLevel="1" x14ac:dyDescent="0.2">
      <c r="B25" s="40" t="str">
        <f t="shared" ref="B25:B30" si="0">TRIM(SUBSTITUTE(B14,",","."))</f>
        <v>PARIET 20 MG 28 CP OR</v>
      </c>
      <c r="C25" s="41"/>
      <c r="D25" s="41"/>
      <c r="E25" s="41"/>
      <c r="F25" s="41"/>
      <c r="G25" s="41"/>
      <c r="H25" s="41"/>
      <c r="I25" s="41"/>
    </row>
    <row r="26" spans="2:9" s="40" customFormat="1" ht="19.5" customHeight="1" outlineLevel="1" x14ac:dyDescent="0.2">
      <c r="B26" s="43" t="str">
        <f t="shared" si="0"/>
        <v>CONCERTA 54MG FR 30CP OR</v>
      </c>
      <c r="C26" s="41"/>
      <c r="D26" s="41"/>
      <c r="E26" s="41"/>
      <c r="F26" s="41"/>
      <c r="G26" s="41"/>
      <c r="H26" s="41"/>
      <c r="I26" s="41"/>
    </row>
    <row r="27" spans="2:9" s="40" customFormat="1" ht="19.5" customHeight="1" outlineLevel="1" x14ac:dyDescent="0.2">
      <c r="B27" s="40" t="str">
        <f t="shared" si="0"/>
        <v>LEUSTATIN INJ CT C/ 1 FR AMP</v>
      </c>
      <c r="C27" s="41"/>
      <c r="D27" s="41"/>
      <c r="E27" s="41"/>
      <c r="F27" s="41"/>
      <c r="G27" s="41"/>
      <c r="H27" s="41"/>
      <c r="I27" s="41"/>
    </row>
    <row r="28" spans="2:9" s="40" customFormat="1" ht="19.5" customHeight="1" outlineLevel="1" x14ac:dyDescent="0.2">
      <c r="B28" s="43" t="str">
        <f t="shared" si="0"/>
        <v>VELCADE 3.5 MG OR</v>
      </c>
      <c r="C28" s="41"/>
      <c r="D28" s="41"/>
      <c r="E28" s="41"/>
      <c r="F28" s="41"/>
      <c r="G28" s="41"/>
      <c r="H28" s="41"/>
      <c r="I28" s="41"/>
    </row>
    <row r="29" spans="2:9" s="40" customFormat="1" ht="19.5" customHeight="1" outlineLevel="1" x14ac:dyDescent="0.2">
      <c r="B29" s="40" t="str">
        <f t="shared" si="0"/>
        <v>LEUSTATIN INJ CT C/ 1 FR AMP</v>
      </c>
      <c r="C29" s="41"/>
      <c r="D29" s="41"/>
      <c r="E29" s="41"/>
      <c r="F29" s="41"/>
      <c r="G29" s="41"/>
    </row>
    <row r="30" spans="2:9" s="40" customFormat="1" ht="19.5" customHeight="1" outlineLevel="1" x14ac:dyDescent="0.2">
      <c r="B30" s="43" t="str">
        <f t="shared" si="0"/>
        <v>VELCADE 3.5 MG OR</v>
      </c>
      <c r="C30" s="41"/>
      <c r="D30" s="41"/>
      <c r="E30" s="41"/>
      <c r="F30" s="41"/>
      <c r="G30" s="41"/>
    </row>
    <row r="31" spans="2:9" outlineLevel="1" x14ac:dyDescent="0.2"/>
    <row r="32" spans="2:9" outlineLevel="1" x14ac:dyDescent="0.2"/>
    <row r="33" spans="2:4" ht="18.75" x14ac:dyDescent="0.3">
      <c r="B33" s="5" t="s">
        <v>145</v>
      </c>
    </row>
    <row r="34" spans="2:4" ht="18.75" outlineLevel="1" x14ac:dyDescent="0.3">
      <c r="B34" s="5"/>
    </row>
    <row r="35" spans="2:4" outlineLevel="1" x14ac:dyDescent="0.2">
      <c r="B35" s="38" t="s">
        <v>66</v>
      </c>
      <c r="C35" s="38"/>
    </row>
    <row r="36" spans="2:4" ht="13.15" customHeight="1" outlineLevel="1" x14ac:dyDescent="0.2">
      <c r="B36" s="38"/>
      <c r="C36" s="38"/>
    </row>
    <row r="37" spans="2:4" ht="18" customHeight="1" outlineLevel="1" x14ac:dyDescent="0.2">
      <c r="B37" s="38"/>
      <c r="C37" s="38"/>
    </row>
    <row r="38" spans="2:4" outlineLevel="1" x14ac:dyDescent="0.2"/>
    <row r="39" spans="2:4" outlineLevel="1" x14ac:dyDescent="0.2">
      <c r="B39" s="39" t="s">
        <v>56</v>
      </c>
      <c r="C39" s="39"/>
    </row>
    <row r="40" spans="2:4" outlineLevel="1" x14ac:dyDescent="0.2">
      <c r="B40"/>
    </row>
    <row r="41" spans="2:4" outlineLevel="1" x14ac:dyDescent="0.2">
      <c r="B41" s="18" t="s">
        <v>57</v>
      </c>
      <c r="C41" s="18" t="s">
        <v>57</v>
      </c>
      <c r="D41" s="6"/>
    </row>
    <row r="42" spans="2:4" outlineLevel="1" x14ac:dyDescent="0.2">
      <c r="B42" s="17" t="s">
        <v>62</v>
      </c>
      <c r="C42" s="19" t="str">
        <f>SUBSTITUTE(B42,"2013","2015")</f>
        <v>Quarter 1, 2015</v>
      </c>
      <c r="D42" s="6"/>
    </row>
    <row r="43" spans="2:4" outlineLevel="1" x14ac:dyDescent="0.2">
      <c r="B43" s="17" t="s">
        <v>63</v>
      </c>
      <c r="C43" s="19" t="str">
        <f t="shared" ref="C43:C46" si="1">SUBSTITUTE(B43,"2013","2015")</f>
        <v>Quarter 2, 2015</v>
      </c>
      <c r="D43" s="6"/>
    </row>
    <row r="44" spans="2:4" outlineLevel="1" x14ac:dyDescent="0.2">
      <c r="B44" s="17" t="s">
        <v>64</v>
      </c>
      <c r="C44" s="19" t="str">
        <f t="shared" si="1"/>
        <v>Quarter 3, 2015</v>
      </c>
      <c r="D44" s="6"/>
    </row>
    <row r="45" spans="2:4" outlineLevel="1" x14ac:dyDescent="0.2">
      <c r="B45" s="17" t="s">
        <v>65</v>
      </c>
      <c r="C45" s="19" t="str">
        <f t="shared" si="1"/>
        <v>Quarter 4, 2015</v>
      </c>
      <c r="D45" s="6"/>
    </row>
    <row r="46" spans="2:4" outlineLevel="1" x14ac:dyDescent="0.2">
      <c r="B46" s="17" t="s">
        <v>58</v>
      </c>
      <c r="C46" s="19" t="str">
        <f>SUBSTITUTE(B46,"2014","2016")</f>
        <v>Quarter 1, 2016</v>
      </c>
      <c r="D46" s="6"/>
    </row>
    <row r="47" spans="2:4" outlineLevel="1" x14ac:dyDescent="0.2">
      <c r="B47" s="17" t="s">
        <v>59</v>
      </c>
      <c r="C47" s="19" t="str">
        <f t="shared" ref="C47:C49" si="2">SUBSTITUTE(B47,"2014","2016")</f>
        <v>Quarter 2, 2016</v>
      </c>
      <c r="D47" s="6"/>
    </row>
    <row r="48" spans="2:4" outlineLevel="1" x14ac:dyDescent="0.2">
      <c r="B48" s="17" t="s">
        <v>60</v>
      </c>
      <c r="C48" s="19" t="str">
        <f t="shared" si="2"/>
        <v>Quarter 3, 2016</v>
      </c>
      <c r="D48" s="6"/>
    </row>
    <row r="49" spans="2:4" outlineLevel="1" x14ac:dyDescent="0.2">
      <c r="B49" s="17" t="s">
        <v>61</v>
      </c>
      <c r="C49" s="19" t="str">
        <f t="shared" si="2"/>
        <v>Quarter 4, 2016</v>
      </c>
      <c r="D49" s="6"/>
    </row>
    <row r="50" spans="2:4" outlineLevel="1" x14ac:dyDescent="0.2">
      <c r="D50" s="6"/>
    </row>
  </sheetData>
  <mergeCells count="3">
    <mergeCell ref="B9:D10"/>
    <mergeCell ref="B39:C39"/>
    <mergeCell ref="B35:C37"/>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ThisWorkbook.Substitute_Send_To_3A">
                <anchor moveWithCells="1" sizeWithCells="1">
                  <from>
                    <xdr:col>2</xdr:col>
                    <xdr:colOff>666750</xdr:colOff>
                    <xdr:row>17</xdr:row>
                    <xdr:rowOff>152400</xdr:rowOff>
                  </from>
                  <to>
                    <xdr:col>2</xdr:col>
                    <xdr:colOff>2190750</xdr:colOff>
                    <xdr:row>21</xdr:row>
                    <xdr:rowOff>28575</xdr:rowOff>
                  </to>
                </anchor>
              </controlPr>
            </control>
          </mc:Choice>
        </mc:AlternateContent>
        <mc:AlternateContent xmlns:mc="http://schemas.openxmlformats.org/markup-compatibility/2006">
          <mc:Choice Requires="x14">
            <control shapeId="8196" r:id="rId5" name="Button 4">
              <controlPr defaultSize="0" print="0" autoFill="0" autoPict="0" macro="[0]!ThisWorkbook.Substitute_Send_To_3B">
                <anchor moveWithCells="1" sizeWithCells="1">
                  <from>
                    <xdr:col>4</xdr:col>
                    <xdr:colOff>161925</xdr:colOff>
                    <xdr:row>40</xdr:row>
                    <xdr:rowOff>104775</xdr:rowOff>
                  </from>
                  <to>
                    <xdr:col>5</xdr:col>
                    <xdr:colOff>228600</xdr:colOff>
                    <xdr:row>43</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P50"/>
  <sheetViews>
    <sheetView showGridLines="0" topLeftCell="A25" zoomScale="80" workbookViewId="0">
      <selection activeCell="C47" sqref="C47"/>
    </sheetView>
  </sheetViews>
  <sheetFormatPr defaultColWidth="9.33203125" defaultRowHeight="12.75" outlineLevelRow="1" x14ac:dyDescent="0.2"/>
  <cols>
    <col min="1" max="1" width="9.33203125" style="2"/>
    <col min="2" max="2" width="58" style="2" bestFit="1" customWidth="1"/>
    <col min="3" max="3" width="52.6640625" style="2" customWidth="1"/>
    <col min="4" max="4" width="32.5" style="2" customWidth="1"/>
    <col min="5" max="5" width="25.5" style="2" customWidth="1"/>
    <col min="6" max="6" width="18.332031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Section 3 - Substitute (ANS)</v>
      </c>
    </row>
    <row r="5" spans="1:16" x14ac:dyDescent="0.2">
      <c r="P5" s="6"/>
    </row>
    <row r="7" spans="1:16" ht="18.75" x14ac:dyDescent="0.3">
      <c r="B7" s="5" t="s">
        <v>100</v>
      </c>
    </row>
    <row r="8" spans="1:16" outlineLevel="1" x14ac:dyDescent="0.2">
      <c r="F8"/>
      <c r="G8"/>
    </row>
    <row r="9" spans="1:16" outlineLevel="1" x14ac:dyDescent="0.2">
      <c r="B9" s="38" t="s">
        <v>35</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22</v>
      </c>
      <c r="C12"/>
      <c r="D12"/>
      <c r="E12"/>
      <c r="F12"/>
      <c r="G12"/>
      <c r="H12"/>
    </row>
    <row r="13" spans="1:16" outlineLevel="1" x14ac:dyDescent="0.2">
      <c r="B13" s="9" t="s">
        <v>24</v>
      </c>
      <c r="C13"/>
      <c r="D13"/>
      <c r="E13"/>
      <c r="F13"/>
      <c r="G13"/>
      <c r="H13"/>
    </row>
    <row r="14" spans="1:16" outlineLevel="1" x14ac:dyDescent="0.2">
      <c r="B14" s="2" t="s">
        <v>25</v>
      </c>
      <c r="C14"/>
      <c r="D14"/>
      <c r="E14"/>
      <c r="F14"/>
      <c r="G14"/>
      <c r="H14"/>
    </row>
    <row r="15" spans="1:16" outlineLevel="1" x14ac:dyDescent="0.2">
      <c r="B15" s="9" t="s">
        <v>26</v>
      </c>
      <c r="C15"/>
      <c r="D15"/>
      <c r="E15"/>
      <c r="F15"/>
      <c r="G15"/>
      <c r="H15"/>
    </row>
    <row r="16" spans="1:16" outlineLevel="1" x14ac:dyDescent="0.2">
      <c r="B16" s="2" t="s">
        <v>27</v>
      </c>
      <c r="C16"/>
      <c r="D16"/>
      <c r="E16"/>
      <c r="F16"/>
      <c r="G16"/>
      <c r="H16"/>
    </row>
    <row r="17" spans="2:9" outlineLevel="1" x14ac:dyDescent="0.2">
      <c r="B17" s="9" t="s">
        <v>28</v>
      </c>
      <c r="C17"/>
      <c r="D17"/>
      <c r="E17"/>
      <c r="F17"/>
      <c r="G17"/>
      <c r="H17"/>
    </row>
    <row r="18" spans="2:9" outlineLevel="1" x14ac:dyDescent="0.2">
      <c r="B18" s="2" t="s">
        <v>29</v>
      </c>
      <c r="C18"/>
      <c r="D18"/>
      <c r="E18"/>
      <c r="F18"/>
      <c r="G18"/>
      <c r="H18"/>
      <c r="I18"/>
    </row>
    <row r="19" spans="2:9" outlineLevel="1" x14ac:dyDescent="0.2">
      <c r="B19" s="9" t="s">
        <v>30</v>
      </c>
      <c r="C19"/>
      <c r="D19"/>
      <c r="E19"/>
      <c r="F19"/>
      <c r="G19"/>
      <c r="H19"/>
      <c r="I19"/>
    </row>
    <row r="20" spans="2:9" outlineLevel="1" x14ac:dyDescent="0.2">
      <c r="B20"/>
      <c r="C20"/>
      <c r="D20"/>
      <c r="E20"/>
      <c r="F20"/>
      <c r="G20"/>
      <c r="H20"/>
      <c r="I20"/>
    </row>
    <row r="21" spans="2:9" outlineLevel="1" x14ac:dyDescent="0.2">
      <c r="B21"/>
      <c r="C21"/>
      <c r="D21"/>
      <c r="E21"/>
      <c r="F21"/>
      <c r="G21"/>
      <c r="H21"/>
      <c r="I21"/>
    </row>
    <row r="22" spans="2:9" outlineLevel="1" x14ac:dyDescent="0.2">
      <c r="B22"/>
      <c r="C22"/>
      <c r="D22"/>
      <c r="E22"/>
      <c r="F22"/>
      <c r="G22"/>
      <c r="H22"/>
      <c r="I22"/>
    </row>
    <row r="23" spans="2:9" outlineLevel="1" x14ac:dyDescent="0.2">
      <c r="B23" s="13"/>
      <c r="C23"/>
      <c r="D23"/>
      <c r="E23"/>
      <c r="F23"/>
      <c r="G23"/>
      <c r="H23"/>
      <c r="I23"/>
    </row>
    <row r="24" spans="2:9" outlineLevel="1" x14ac:dyDescent="0.2">
      <c r="B24" s="9" t="str">
        <f>TRIM(SUBSTITUTE(B13, ",", "."))</f>
        <v>PROGRAF 5MG 50CAPSULAS PROIBID</v>
      </c>
      <c r="C24"/>
      <c r="D24"/>
      <c r="E24"/>
      <c r="F24"/>
      <c r="G24"/>
      <c r="H24"/>
      <c r="I24"/>
    </row>
    <row r="25" spans="2:9" outlineLevel="1" x14ac:dyDescent="0.2">
      <c r="B25" s="2" t="str">
        <f>TRIM(SUBSTITUTE(B14, ",", "."))</f>
        <v>PARIET 20 MG 28 CP OR</v>
      </c>
      <c r="C25"/>
      <c r="D25"/>
      <c r="E25"/>
      <c r="F25"/>
      <c r="G25"/>
      <c r="H25"/>
      <c r="I25"/>
    </row>
    <row r="26" spans="2:9" outlineLevel="1" x14ac:dyDescent="0.2">
      <c r="B26" s="9" t="str">
        <f t="shared" ref="B26:B30" si="0">TRIM(SUBSTITUTE(B15, ",", "."))</f>
        <v>CONCERTA 54MG FR 30CP OR</v>
      </c>
      <c r="C26"/>
      <c r="D26"/>
      <c r="E26"/>
      <c r="F26"/>
      <c r="G26"/>
      <c r="H26"/>
      <c r="I26"/>
    </row>
    <row r="27" spans="2:9" outlineLevel="1" x14ac:dyDescent="0.2">
      <c r="B27" s="2" t="str">
        <f t="shared" si="0"/>
        <v>LEUSTATIN INJ CT C/ 1 FR AMP</v>
      </c>
      <c r="C27"/>
      <c r="D27"/>
      <c r="E27"/>
      <c r="F27"/>
      <c r="G27"/>
      <c r="H27"/>
      <c r="I27"/>
    </row>
    <row r="28" spans="2:9" outlineLevel="1" x14ac:dyDescent="0.2">
      <c r="B28" s="9" t="str">
        <f>TRIM(SUBSTITUTE(B17, ",", "."))</f>
        <v>VELCADE 3.5 MG OR</v>
      </c>
      <c r="C28"/>
      <c r="D28"/>
      <c r="E28"/>
      <c r="F28"/>
      <c r="G28"/>
      <c r="H28"/>
      <c r="I28"/>
    </row>
    <row r="29" spans="2:9" outlineLevel="1" x14ac:dyDescent="0.2">
      <c r="B29" s="2" t="str">
        <f t="shared" si="0"/>
        <v>LEUSTATIN INJ CT C/ 1 FR AMP</v>
      </c>
      <c r="C29"/>
      <c r="D29"/>
      <c r="E29"/>
      <c r="F29"/>
      <c r="G29"/>
    </row>
    <row r="30" spans="2:9" outlineLevel="1" x14ac:dyDescent="0.2">
      <c r="B30" s="9" t="str">
        <f t="shared" si="0"/>
        <v>VELCADE 3.5 MG OR</v>
      </c>
      <c r="C30"/>
      <c r="D30"/>
      <c r="E30"/>
      <c r="F30"/>
      <c r="G30"/>
    </row>
    <row r="31" spans="2:9" outlineLevel="1" x14ac:dyDescent="0.2"/>
    <row r="32" spans="2:9" outlineLevel="1" x14ac:dyDescent="0.2"/>
    <row r="33" spans="2:4" ht="18.75" x14ac:dyDescent="0.3">
      <c r="B33" s="5" t="s">
        <v>145</v>
      </c>
    </row>
    <row r="34" spans="2:4" ht="18.75" outlineLevel="1" x14ac:dyDescent="0.3">
      <c r="B34" s="5"/>
    </row>
    <row r="35" spans="2:4" outlineLevel="1" x14ac:dyDescent="0.2">
      <c r="B35" s="38" t="s">
        <v>66</v>
      </c>
      <c r="C35" s="38"/>
    </row>
    <row r="36" spans="2:4" ht="13.15" customHeight="1" outlineLevel="1" x14ac:dyDescent="0.2">
      <c r="B36" s="38"/>
      <c r="C36" s="38"/>
    </row>
    <row r="37" spans="2:4" ht="18" customHeight="1" outlineLevel="1" x14ac:dyDescent="0.2">
      <c r="B37" s="38"/>
      <c r="C37" s="38"/>
    </row>
    <row r="38" spans="2:4" outlineLevel="1" x14ac:dyDescent="0.2"/>
    <row r="39" spans="2:4" outlineLevel="1" x14ac:dyDescent="0.2">
      <c r="B39" s="39" t="s">
        <v>56</v>
      </c>
      <c r="C39" s="39"/>
    </row>
    <row r="40" spans="2:4" outlineLevel="1" x14ac:dyDescent="0.2">
      <c r="B40"/>
    </row>
    <row r="41" spans="2:4" outlineLevel="1" x14ac:dyDescent="0.2">
      <c r="B41" s="18" t="s">
        <v>57</v>
      </c>
      <c r="C41" s="18" t="str">
        <f>SUBSTITUTE(B41,"Sales","Cost")</f>
        <v>Cost Data</v>
      </c>
      <c r="D41" s="6"/>
    </row>
    <row r="42" spans="2:4" outlineLevel="1" x14ac:dyDescent="0.2">
      <c r="B42" s="17" t="s">
        <v>62</v>
      </c>
      <c r="C42" s="19" t="str">
        <f>SUBSTITUTE(B42,"2013","2015")</f>
        <v>Quarter 1, 2015</v>
      </c>
      <c r="D42" s="6"/>
    </row>
    <row r="43" spans="2:4" outlineLevel="1" x14ac:dyDescent="0.2">
      <c r="B43" s="17" t="s">
        <v>63</v>
      </c>
      <c r="C43" s="19" t="str">
        <f>SUBSTITUTE(B43,"2013","2015")</f>
        <v>Quarter 2, 2015</v>
      </c>
      <c r="D43" s="6"/>
    </row>
    <row r="44" spans="2:4" outlineLevel="1" x14ac:dyDescent="0.2">
      <c r="B44" s="17" t="s">
        <v>64</v>
      </c>
      <c r="C44" s="19" t="str">
        <f t="shared" ref="C44:C45" si="1">SUBSTITUTE(B44,"2013","2015")</f>
        <v>Quarter 3, 2015</v>
      </c>
      <c r="D44" s="6"/>
    </row>
    <row r="45" spans="2:4" outlineLevel="1" x14ac:dyDescent="0.2">
      <c r="B45" s="17" t="s">
        <v>65</v>
      </c>
      <c r="C45" s="19" t="str">
        <f t="shared" si="1"/>
        <v>Quarter 4, 2015</v>
      </c>
      <c r="D45" s="6"/>
    </row>
    <row r="46" spans="2:4" outlineLevel="1" x14ac:dyDescent="0.2">
      <c r="B46" s="17" t="s">
        <v>58</v>
      </c>
      <c r="C46" s="19" t="str">
        <f>SUBSTITUTE(B46,"2014","2016")</f>
        <v>Quarter 1, 2016</v>
      </c>
      <c r="D46" s="6"/>
    </row>
    <row r="47" spans="2:4" outlineLevel="1" x14ac:dyDescent="0.2">
      <c r="B47" s="17" t="s">
        <v>59</v>
      </c>
      <c r="C47" s="19" t="str">
        <f t="shared" ref="C47:C49" si="2">SUBSTITUTE(B47,"2014","2016")</f>
        <v>Quarter 2, 2016</v>
      </c>
      <c r="D47" s="6"/>
    </row>
    <row r="48" spans="2:4" outlineLevel="1" x14ac:dyDescent="0.2">
      <c r="B48" s="17" t="s">
        <v>60</v>
      </c>
      <c r="C48" s="19" t="str">
        <f t="shared" si="2"/>
        <v>Quarter 3, 2016</v>
      </c>
      <c r="D48" s="6"/>
    </row>
    <row r="49" spans="2:4" outlineLevel="1" x14ac:dyDescent="0.2">
      <c r="B49" s="17" t="s">
        <v>61</v>
      </c>
      <c r="C49" s="19" t="str">
        <f t="shared" si="2"/>
        <v>Quarter 4, 2016</v>
      </c>
      <c r="D49" s="6"/>
    </row>
    <row r="50" spans="2:4" outlineLevel="1" x14ac:dyDescent="0.2">
      <c r="D50" s="6"/>
    </row>
  </sheetData>
  <mergeCells count="3">
    <mergeCell ref="B9:D10"/>
    <mergeCell ref="B35:C37"/>
    <mergeCell ref="B39:C3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ThisWorkbook.Substitute_Instruction_Send_To_3A">
                <anchor moveWithCells="1" sizeWithCells="1">
                  <from>
                    <xdr:col>2</xdr:col>
                    <xdr:colOff>1228725</xdr:colOff>
                    <xdr:row>18</xdr:row>
                    <xdr:rowOff>38100</xdr:rowOff>
                  </from>
                  <to>
                    <xdr:col>2</xdr:col>
                    <xdr:colOff>2962275</xdr:colOff>
                    <xdr:row>21</xdr:row>
                    <xdr:rowOff>76200</xdr:rowOff>
                  </to>
                </anchor>
              </controlPr>
            </control>
          </mc:Choice>
        </mc:AlternateContent>
        <mc:AlternateContent xmlns:mc="http://schemas.openxmlformats.org/markup-compatibility/2006">
          <mc:Choice Requires="x14">
            <control shapeId="9218" r:id="rId5" name="Button 2">
              <controlPr defaultSize="0" print="0" autoFill="0" autoPict="0" macro="[0]!ThisWorkbook.Substitute_Instruction_Send_To_3B">
                <anchor moveWithCells="1" sizeWithCells="1">
                  <from>
                    <xdr:col>3</xdr:col>
                    <xdr:colOff>619125</xdr:colOff>
                    <xdr:row>42</xdr:row>
                    <xdr:rowOff>38100</xdr:rowOff>
                  </from>
                  <to>
                    <xdr:col>4</xdr:col>
                    <xdr:colOff>495300</xdr:colOff>
                    <xdr:row>45</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59"/>
  <sheetViews>
    <sheetView showGridLines="0" topLeftCell="A7" zoomScale="80" zoomScaleNormal="80" workbookViewId="0">
      <selection activeCell="B13" sqref="B13:B19"/>
    </sheetView>
  </sheetViews>
  <sheetFormatPr defaultColWidth="9.33203125" defaultRowHeight="12.75" outlineLevelRow="1" x14ac:dyDescent="0.2"/>
  <cols>
    <col min="1" max="1" width="9.33203125" style="2"/>
    <col min="2" max="2" width="28.6640625" style="2" bestFit="1" customWidth="1"/>
    <col min="3" max="3" width="52.6640625" style="2" customWidth="1"/>
    <col min="4" max="4" width="32.5" style="2" customWidth="1"/>
    <col min="5" max="6" width="15.33203125" style="2" bestFit="1" customWidth="1"/>
    <col min="7" max="7" width="14.5" style="2" bestFit="1" customWidth="1"/>
    <col min="8" max="8" width="15.83203125" style="2" bestFit="1" customWidth="1"/>
    <col min="9" max="9" width="14.5" style="2" bestFit="1" customWidth="1"/>
    <col min="10" max="16384" width="9.33203125" style="2"/>
  </cols>
  <sheetData>
    <row r="1" spans="1:14" x14ac:dyDescent="0.2">
      <c r="A1" s="3" t="str">
        <f>Introduction!A1</f>
        <v>Problem Solving with Excel</v>
      </c>
    </row>
    <row r="2" spans="1:14" x14ac:dyDescent="0.2">
      <c r="A2" s="3" t="str">
        <f>Introduction!A2</f>
        <v>Week 2</v>
      </c>
    </row>
    <row r="3" spans="1:14" x14ac:dyDescent="0.2">
      <c r="A3" s="3" t="str">
        <f>Introduction!A3</f>
        <v>Data Cleansing - Values</v>
      </c>
    </row>
    <row r="4" spans="1:14" x14ac:dyDescent="0.2">
      <c r="A4" s="3" t="str">
        <f ca="1">MID(CELL("Filename",G7),SEARCH("]",CELL("Filename",G7),1)+1,100)</f>
        <v>Section 4 - Value</v>
      </c>
    </row>
    <row r="5" spans="1:14" x14ac:dyDescent="0.2">
      <c r="N5" s="6"/>
    </row>
    <row r="7" spans="1:14" ht="18.75" x14ac:dyDescent="0.3">
      <c r="B7" s="5" t="s">
        <v>101</v>
      </c>
    </row>
    <row r="8" spans="1:14" outlineLevel="1" x14ac:dyDescent="0.2">
      <c r="E8"/>
    </row>
    <row r="9" spans="1:14" outlineLevel="1" x14ac:dyDescent="0.2">
      <c r="B9" s="38" t="s">
        <v>35</v>
      </c>
      <c r="C9" s="38"/>
      <c r="D9" s="38"/>
      <c r="E9"/>
      <c r="F9"/>
    </row>
    <row r="10" spans="1:14" outlineLevel="1" x14ac:dyDescent="0.2">
      <c r="B10" s="38"/>
      <c r="C10" s="38"/>
      <c r="D10" s="38"/>
      <c r="E10"/>
      <c r="F10"/>
    </row>
    <row r="11" spans="1:14" outlineLevel="1" x14ac:dyDescent="0.2">
      <c r="B11"/>
      <c r="C11"/>
      <c r="D11"/>
      <c r="E11"/>
      <c r="F11"/>
    </row>
    <row r="12" spans="1:14" outlineLevel="1" x14ac:dyDescent="0.2">
      <c r="B12" s="13" t="s">
        <v>23</v>
      </c>
      <c r="E12"/>
      <c r="F12"/>
    </row>
    <row r="13" spans="1:14" outlineLevel="1" x14ac:dyDescent="0.2">
      <c r="B13" s="9" t="s">
        <v>31</v>
      </c>
      <c r="E13"/>
      <c r="F13"/>
    </row>
    <row r="14" spans="1:14" outlineLevel="1" x14ac:dyDescent="0.2">
      <c r="B14" s="2" t="s">
        <v>32</v>
      </c>
      <c r="E14"/>
      <c r="F14"/>
    </row>
    <row r="15" spans="1:14" outlineLevel="1" x14ac:dyDescent="0.2">
      <c r="B15" s="9" t="s">
        <v>33</v>
      </c>
      <c r="E15"/>
      <c r="F15"/>
    </row>
    <row r="16" spans="1:14" outlineLevel="1" x14ac:dyDescent="0.2">
      <c r="B16" s="2" t="s">
        <v>32</v>
      </c>
      <c r="E16"/>
      <c r="F16"/>
    </row>
    <row r="17" spans="2:7" outlineLevel="1" x14ac:dyDescent="0.2">
      <c r="B17" s="9" t="s">
        <v>34</v>
      </c>
      <c r="E17"/>
      <c r="F17"/>
    </row>
    <row r="18" spans="2:7" outlineLevel="1" x14ac:dyDescent="0.2">
      <c r="B18" s="2" t="s">
        <v>33</v>
      </c>
      <c r="E18"/>
      <c r="F18"/>
      <c r="G18"/>
    </row>
    <row r="19" spans="2:7" outlineLevel="1" x14ac:dyDescent="0.2">
      <c r="B19" s="9" t="s">
        <v>34</v>
      </c>
      <c r="E19"/>
      <c r="F19"/>
      <c r="G19"/>
    </row>
    <row r="20" spans="2:7" outlineLevel="1" x14ac:dyDescent="0.2">
      <c r="B20" s="23">
        <f>SUM(B13:B19)</f>
        <v>0</v>
      </c>
      <c r="E20"/>
      <c r="F20"/>
      <c r="G20"/>
    </row>
    <row r="21" spans="2:7" outlineLevel="1" x14ac:dyDescent="0.2">
      <c r="B21"/>
      <c r="E21"/>
      <c r="F21"/>
      <c r="G21"/>
    </row>
    <row r="22" spans="2:7" outlineLevel="1" x14ac:dyDescent="0.2">
      <c r="B22"/>
      <c r="E22"/>
      <c r="F22"/>
      <c r="G22"/>
    </row>
    <row r="23" spans="2:7" outlineLevel="1" x14ac:dyDescent="0.2">
      <c r="B23"/>
      <c r="E23"/>
      <c r="F23"/>
      <c r="G23"/>
    </row>
    <row r="24" spans="2:7" outlineLevel="1" x14ac:dyDescent="0.2">
      <c r="B24" s="23" t="s">
        <v>144</v>
      </c>
      <c r="D24" s="22" t="s">
        <v>78</v>
      </c>
      <c r="E24"/>
      <c r="F24"/>
      <c r="G24"/>
    </row>
    <row r="25" spans="2:7" outlineLevel="1" x14ac:dyDescent="0.2">
      <c r="B25" s="13">
        <f>VALUE(B13)</f>
        <v>2</v>
      </c>
      <c r="D25" s="13"/>
      <c r="E25"/>
      <c r="F25"/>
      <c r="G25"/>
    </row>
    <row r="26" spans="2:7" outlineLevel="1" x14ac:dyDescent="0.2">
      <c r="B26" s="13">
        <f t="shared" ref="B26:B32" si="0">VALUE(B14)</f>
        <v>3</v>
      </c>
      <c r="D26" s="9">
        <v>2</v>
      </c>
      <c r="E26"/>
      <c r="F26"/>
      <c r="G26"/>
    </row>
    <row r="27" spans="2:7" outlineLevel="1" x14ac:dyDescent="0.2">
      <c r="B27" s="13">
        <f t="shared" si="0"/>
        <v>5</v>
      </c>
      <c r="D27" s="2">
        <v>3</v>
      </c>
      <c r="E27"/>
      <c r="F27"/>
      <c r="G27"/>
    </row>
    <row r="28" spans="2:7" outlineLevel="1" x14ac:dyDescent="0.2">
      <c r="B28" s="13">
        <f t="shared" si="0"/>
        <v>3</v>
      </c>
      <c r="D28" s="9">
        <v>5</v>
      </c>
      <c r="E28"/>
      <c r="F28"/>
      <c r="G28"/>
    </row>
    <row r="29" spans="2:7" outlineLevel="1" x14ac:dyDescent="0.2">
      <c r="B29" s="13">
        <f t="shared" si="0"/>
        <v>10</v>
      </c>
      <c r="D29" s="2">
        <v>3</v>
      </c>
      <c r="E29"/>
      <c r="F29"/>
      <c r="G29"/>
    </row>
    <row r="30" spans="2:7" outlineLevel="1" x14ac:dyDescent="0.2">
      <c r="B30" s="13">
        <f t="shared" si="0"/>
        <v>5</v>
      </c>
      <c r="D30" s="9">
        <v>10</v>
      </c>
      <c r="E30"/>
      <c r="F30"/>
      <c r="G30"/>
    </row>
    <row r="31" spans="2:7" outlineLevel="1" x14ac:dyDescent="0.2">
      <c r="B31" s="13">
        <f t="shared" si="0"/>
        <v>10</v>
      </c>
      <c r="D31" s="2">
        <v>5</v>
      </c>
    </row>
    <row r="32" spans="2:7" outlineLevel="1" x14ac:dyDescent="0.2">
      <c r="B32" s="13">
        <f t="shared" si="0"/>
        <v>0</v>
      </c>
      <c r="D32" s="9">
        <v>10</v>
      </c>
    </row>
    <row r="33" spans="2:4" outlineLevel="1" x14ac:dyDescent="0.2">
      <c r="B33" s="23">
        <f>SUM(B26:B32)</f>
        <v>36</v>
      </c>
      <c r="D33" s="23">
        <f>SUM(D26:D32)</f>
        <v>38</v>
      </c>
    </row>
    <row r="35" spans="2:4" customFormat="1" ht="12" x14ac:dyDescent="0.2"/>
    <row r="36" spans="2:4" customFormat="1" ht="19.149999999999999" customHeight="1" x14ac:dyDescent="0.2"/>
    <row r="37" spans="2:4" customFormat="1" ht="12" x14ac:dyDescent="0.2"/>
    <row r="38" spans="2:4" customFormat="1" ht="12" x14ac:dyDescent="0.2"/>
    <row r="39" spans="2:4" customFormat="1" ht="12" x14ac:dyDescent="0.2"/>
    <row r="40" spans="2:4" customFormat="1" ht="12" x14ac:dyDescent="0.2"/>
    <row r="41" spans="2:4" customFormat="1" ht="12" x14ac:dyDescent="0.2"/>
    <row r="42" spans="2:4" customFormat="1" ht="12" x14ac:dyDescent="0.2"/>
    <row r="43" spans="2:4" customFormat="1" ht="12" x14ac:dyDescent="0.2"/>
    <row r="44" spans="2:4" customFormat="1" ht="12" x14ac:dyDescent="0.2"/>
    <row r="45" spans="2:4" customFormat="1" ht="12" x14ac:dyDescent="0.2"/>
    <row r="46" spans="2:4" customFormat="1" ht="12" x14ac:dyDescent="0.2"/>
    <row r="47" spans="2:4" customFormat="1" ht="12" x14ac:dyDescent="0.2"/>
    <row r="48" spans="2:4" customFormat="1" ht="12" x14ac:dyDescent="0.2"/>
    <row r="49" customFormat="1" ht="12" x14ac:dyDescent="0.2"/>
    <row r="50" customFormat="1" ht="12" x14ac:dyDescent="0.2"/>
    <row r="51" customFormat="1" ht="12" x14ac:dyDescent="0.2"/>
    <row r="52" customFormat="1" ht="12" x14ac:dyDescent="0.2"/>
    <row r="53" customFormat="1" ht="12" x14ac:dyDescent="0.2"/>
    <row r="54" customFormat="1" ht="12" x14ac:dyDescent="0.2"/>
    <row r="55" customFormat="1" ht="12" x14ac:dyDescent="0.2"/>
    <row r="56" customFormat="1" ht="12" x14ac:dyDescent="0.2"/>
    <row r="57" customFormat="1" ht="12" x14ac:dyDescent="0.2"/>
    <row r="58" customFormat="1" ht="12" x14ac:dyDescent="0.2"/>
    <row r="59" customFormat="1" ht="12"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Value_Send_To_4A">
                <anchor moveWithCells="1" sizeWithCells="1">
                  <from>
                    <xdr:col>2</xdr:col>
                    <xdr:colOff>2209800</xdr:colOff>
                    <xdr:row>13</xdr:row>
                    <xdr:rowOff>95250</xdr:rowOff>
                  </from>
                  <to>
                    <xdr:col>3</xdr:col>
                    <xdr:colOff>933450</xdr:colOff>
                    <xdr:row>16</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N57"/>
  <sheetViews>
    <sheetView showGridLines="0" zoomScale="80" zoomScaleNormal="80" workbookViewId="0">
      <selection activeCell="D21" sqref="D21"/>
    </sheetView>
  </sheetViews>
  <sheetFormatPr defaultColWidth="9.33203125" defaultRowHeight="12.75" outlineLevelRow="1" x14ac:dyDescent="0.2"/>
  <cols>
    <col min="1" max="1" width="9.33203125" style="2"/>
    <col min="2" max="2" width="28.6640625" style="2" bestFit="1" customWidth="1"/>
    <col min="3" max="3" width="52.6640625" style="2" customWidth="1"/>
    <col min="4" max="4" width="32.5" style="2" customWidth="1"/>
    <col min="5" max="6" width="15.33203125" style="2" bestFit="1" customWidth="1"/>
    <col min="7" max="7" width="14.5" style="2" bestFit="1" customWidth="1"/>
    <col min="8" max="8" width="15.83203125" style="2" bestFit="1" customWidth="1"/>
    <col min="9" max="9" width="14.5" style="2" bestFit="1" customWidth="1"/>
    <col min="10" max="16384" width="9.33203125" style="2"/>
  </cols>
  <sheetData>
    <row r="1" spans="1:14" x14ac:dyDescent="0.2">
      <c r="A1" s="3" t="str">
        <f>Introduction!A1</f>
        <v>Problem Solving with Excel</v>
      </c>
    </row>
    <row r="2" spans="1:14" x14ac:dyDescent="0.2">
      <c r="A2" s="3" t="str">
        <f>Introduction!A2</f>
        <v>Week 2</v>
      </c>
    </row>
    <row r="3" spans="1:14" x14ac:dyDescent="0.2">
      <c r="A3" s="3" t="str">
        <f>Introduction!A3</f>
        <v>Data Cleansing - Values</v>
      </c>
    </row>
    <row r="4" spans="1:14" x14ac:dyDescent="0.2">
      <c r="A4" s="3" t="str">
        <f ca="1">MID(CELL("Filename",G7),SEARCH("]",CELL("Filename",G7),1)+1,100)</f>
        <v>Section 4 - Value (ANS)</v>
      </c>
    </row>
    <row r="5" spans="1:14" x14ac:dyDescent="0.2">
      <c r="N5" s="6"/>
    </row>
    <row r="7" spans="1:14" ht="18.75" x14ac:dyDescent="0.3">
      <c r="B7" s="5" t="s">
        <v>101</v>
      </c>
    </row>
    <row r="8" spans="1:14" outlineLevel="1" x14ac:dyDescent="0.2">
      <c r="E8"/>
    </row>
    <row r="9" spans="1:14" outlineLevel="1" x14ac:dyDescent="0.2">
      <c r="B9" s="38" t="s">
        <v>35</v>
      </c>
      <c r="C9" s="38"/>
      <c r="D9" s="38"/>
      <c r="E9"/>
      <c r="F9"/>
    </row>
    <row r="10" spans="1:14" outlineLevel="1" x14ac:dyDescent="0.2">
      <c r="B10" s="38"/>
      <c r="C10" s="38"/>
      <c r="D10" s="38"/>
      <c r="E10"/>
      <c r="F10"/>
    </row>
    <row r="11" spans="1:14" outlineLevel="1" x14ac:dyDescent="0.2">
      <c r="B11"/>
      <c r="C11"/>
      <c r="D11"/>
      <c r="E11"/>
      <c r="F11"/>
    </row>
    <row r="12" spans="1:14" outlineLevel="1" x14ac:dyDescent="0.2">
      <c r="B12" s="13" t="s">
        <v>23</v>
      </c>
      <c r="E12"/>
      <c r="F12"/>
    </row>
    <row r="13" spans="1:14" outlineLevel="1" x14ac:dyDescent="0.2">
      <c r="B13" s="9" t="s">
        <v>31</v>
      </c>
      <c r="E13"/>
      <c r="F13"/>
    </row>
    <row r="14" spans="1:14" outlineLevel="1" x14ac:dyDescent="0.2">
      <c r="B14" s="2" t="s">
        <v>32</v>
      </c>
      <c r="E14"/>
      <c r="F14"/>
    </row>
    <row r="15" spans="1:14" outlineLevel="1" x14ac:dyDescent="0.2">
      <c r="B15" s="9" t="s">
        <v>33</v>
      </c>
      <c r="E15"/>
      <c r="F15"/>
    </row>
    <row r="16" spans="1:14" outlineLevel="1" x14ac:dyDescent="0.2">
      <c r="B16" s="2" t="s">
        <v>32</v>
      </c>
      <c r="E16"/>
      <c r="F16"/>
    </row>
    <row r="17" spans="2:7" outlineLevel="1" x14ac:dyDescent="0.2">
      <c r="B17" s="9" t="s">
        <v>34</v>
      </c>
      <c r="E17"/>
      <c r="F17"/>
    </row>
    <row r="18" spans="2:7" outlineLevel="1" x14ac:dyDescent="0.2">
      <c r="B18" s="2" t="s">
        <v>33</v>
      </c>
      <c r="E18"/>
      <c r="F18"/>
      <c r="G18"/>
    </row>
    <row r="19" spans="2:7" outlineLevel="1" x14ac:dyDescent="0.2">
      <c r="B19" s="9" t="s">
        <v>34</v>
      </c>
      <c r="E19"/>
      <c r="F19"/>
      <c r="G19"/>
    </row>
    <row r="20" spans="2:7" outlineLevel="1" x14ac:dyDescent="0.2">
      <c r="B20" s="23">
        <f>SUM(B13:B19)</f>
        <v>0</v>
      </c>
      <c r="E20"/>
      <c r="F20"/>
      <c r="G20"/>
    </row>
    <row r="21" spans="2:7" outlineLevel="1" x14ac:dyDescent="0.2">
      <c r="B21"/>
      <c r="E21"/>
      <c r="F21"/>
      <c r="G21"/>
    </row>
    <row r="22" spans="2:7" outlineLevel="1" x14ac:dyDescent="0.2">
      <c r="B22"/>
      <c r="E22"/>
      <c r="F22"/>
      <c r="G22"/>
    </row>
    <row r="23" spans="2:7" outlineLevel="1" x14ac:dyDescent="0.2">
      <c r="B23"/>
      <c r="E23"/>
      <c r="F23"/>
      <c r="G23"/>
    </row>
    <row r="24" spans="2:7" outlineLevel="1" x14ac:dyDescent="0.2">
      <c r="B24" s="23" t="s">
        <v>144</v>
      </c>
      <c r="D24" s="22" t="s">
        <v>78</v>
      </c>
      <c r="E24"/>
      <c r="F24"/>
      <c r="G24"/>
    </row>
    <row r="25" spans="2:7" outlineLevel="1" x14ac:dyDescent="0.2">
      <c r="B25" s="13"/>
      <c r="D25" s="13"/>
      <c r="E25"/>
      <c r="F25"/>
      <c r="G25"/>
    </row>
    <row r="26" spans="2:7" outlineLevel="1" x14ac:dyDescent="0.2">
      <c r="B26" s="9">
        <f>VALUE(B13)</f>
        <v>2</v>
      </c>
      <c r="D26" s="9">
        <v>2</v>
      </c>
      <c r="E26"/>
      <c r="F26"/>
      <c r="G26"/>
    </row>
    <row r="27" spans="2:7" outlineLevel="1" x14ac:dyDescent="0.2">
      <c r="B27" s="2">
        <f t="shared" ref="B27:B32" si="0">VALUE(B14)</f>
        <v>3</v>
      </c>
      <c r="D27" s="2">
        <v>3</v>
      </c>
      <c r="E27"/>
      <c r="F27"/>
      <c r="G27"/>
    </row>
    <row r="28" spans="2:7" outlineLevel="1" x14ac:dyDescent="0.2">
      <c r="B28" s="9">
        <f t="shared" si="0"/>
        <v>5</v>
      </c>
      <c r="D28" s="9">
        <v>5</v>
      </c>
      <c r="E28"/>
      <c r="F28"/>
      <c r="G28"/>
    </row>
    <row r="29" spans="2:7" outlineLevel="1" x14ac:dyDescent="0.2">
      <c r="B29" s="2">
        <f t="shared" si="0"/>
        <v>3</v>
      </c>
      <c r="D29" s="2">
        <v>3</v>
      </c>
      <c r="E29"/>
      <c r="F29"/>
      <c r="G29"/>
    </row>
    <row r="30" spans="2:7" outlineLevel="1" x14ac:dyDescent="0.2">
      <c r="B30" s="9">
        <f t="shared" si="0"/>
        <v>10</v>
      </c>
      <c r="D30" s="9">
        <v>10</v>
      </c>
      <c r="E30"/>
      <c r="F30"/>
      <c r="G30"/>
    </row>
    <row r="31" spans="2:7" outlineLevel="1" x14ac:dyDescent="0.2">
      <c r="B31" s="2">
        <f t="shared" si="0"/>
        <v>5</v>
      </c>
      <c r="D31" s="2">
        <v>5</v>
      </c>
    </row>
    <row r="32" spans="2:7" outlineLevel="1" x14ac:dyDescent="0.2">
      <c r="B32" s="9">
        <f t="shared" si="0"/>
        <v>10</v>
      </c>
      <c r="D32" s="9">
        <v>10</v>
      </c>
    </row>
    <row r="33" spans="2:4" outlineLevel="1" x14ac:dyDescent="0.2">
      <c r="B33" s="23">
        <f>SUM(B26:B32)</f>
        <v>38</v>
      </c>
      <c r="D33" s="23">
        <f>SUM(D26:D32)</f>
        <v>38</v>
      </c>
    </row>
    <row r="35" spans="2:4" customFormat="1" ht="12" x14ac:dyDescent="0.2"/>
    <row r="36" spans="2:4" customFormat="1" ht="19.149999999999999" customHeight="1" x14ac:dyDescent="0.2"/>
    <row r="37" spans="2:4" customFormat="1" ht="12" x14ac:dyDescent="0.2"/>
    <row r="38" spans="2:4" customFormat="1" ht="12" x14ac:dyDescent="0.2"/>
    <row r="39" spans="2:4" customFormat="1" ht="12" x14ac:dyDescent="0.2"/>
    <row r="40" spans="2:4" customFormat="1" ht="12" x14ac:dyDescent="0.2"/>
    <row r="41" spans="2:4" customFormat="1" ht="12" x14ac:dyDescent="0.2"/>
    <row r="42" spans="2:4" customFormat="1" ht="12" x14ac:dyDescent="0.2"/>
    <row r="43" spans="2:4" customFormat="1" ht="12" x14ac:dyDescent="0.2"/>
    <row r="44" spans="2:4" customFormat="1" ht="12" x14ac:dyDescent="0.2"/>
    <row r="45" spans="2:4" customFormat="1" ht="12" x14ac:dyDescent="0.2"/>
    <row r="46" spans="2:4" customFormat="1" ht="12" x14ac:dyDescent="0.2"/>
    <row r="47" spans="2:4" customFormat="1" ht="12" x14ac:dyDescent="0.2"/>
    <row r="48" spans="2:4" customFormat="1" ht="12" x14ac:dyDescent="0.2"/>
    <row r="49" customFormat="1" ht="12" x14ac:dyDescent="0.2"/>
    <row r="50" customFormat="1" ht="12" x14ac:dyDescent="0.2"/>
    <row r="51" customFormat="1" ht="12" x14ac:dyDescent="0.2"/>
    <row r="52" customFormat="1" ht="12" x14ac:dyDescent="0.2"/>
    <row r="53" customFormat="1" ht="12" x14ac:dyDescent="0.2"/>
    <row r="54" customFormat="1" ht="12" x14ac:dyDescent="0.2"/>
    <row r="55" customFormat="1" ht="12" x14ac:dyDescent="0.2"/>
    <row r="56" customFormat="1" ht="12" x14ac:dyDescent="0.2"/>
    <row r="57" customFormat="1" ht="12" x14ac:dyDescent="0.2"/>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Value_Instruction_Send_To_4A">
                <anchor moveWithCells="1" sizeWithCells="1">
                  <from>
                    <xdr:col>3</xdr:col>
                    <xdr:colOff>438150</xdr:colOff>
                    <xdr:row>14</xdr:row>
                    <xdr:rowOff>66675</xdr:rowOff>
                  </from>
                  <to>
                    <xdr:col>4</xdr:col>
                    <xdr:colOff>314325</xdr:colOff>
                    <xdr:row>17</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57"/>
  <sheetViews>
    <sheetView showGridLines="0" tabSelected="1" topLeftCell="A34" zoomScale="80" zoomScaleNormal="80" workbookViewId="0">
      <selection activeCell="D52" sqref="D52"/>
    </sheetView>
  </sheetViews>
  <sheetFormatPr defaultColWidth="9.33203125" defaultRowHeight="12.75" x14ac:dyDescent="0.2"/>
  <cols>
    <col min="1" max="1" width="9.33203125" style="2"/>
    <col min="2" max="2" width="28.6640625" style="2" bestFit="1" customWidth="1"/>
    <col min="3" max="3" width="35.5" style="2" customWidth="1"/>
    <col min="4" max="4" width="53.6640625" style="2" customWidth="1"/>
    <col min="5" max="5" width="9.33203125" style="2"/>
    <col min="6" max="8" width="36.6640625" style="2" customWidth="1"/>
    <col min="9" max="16384" width="9.33203125" style="2"/>
  </cols>
  <sheetData>
    <row r="1" spans="1:15" x14ac:dyDescent="0.2">
      <c r="A1" s="3" t="str">
        <f>Introduction!A1</f>
        <v>Problem Solving with Excel</v>
      </c>
    </row>
    <row r="2" spans="1:15" x14ac:dyDescent="0.2">
      <c r="A2" s="3" t="str">
        <f>Introduction!A2</f>
        <v>Week 2</v>
      </c>
    </row>
    <row r="3" spans="1:15" x14ac:dyDescent="0.2">
      <c r="A3" s="3" t="str">
        <f>Introduction!A3</f>
        <v>Data Cleansing - Values</v>
      </c>
    </row>
    <row r="4" spans="1:15" x14ac:dyDescent="0.2">
      <c r="A4" s="3" t="str">
        <f ca="1">MID(CELL("Filename",G7),SEARCH("]",CELL("Filename",G7),1)+1,100)</f>
        <v>Section 5 - Duplicates</v>
      </c>
    </row>
    <row r="5" spans="1:15" x14ac:dyDescent="0.2">
      <c r="O5" s="6"/>
    </row>
    <row r="7" spans="1:15" ht="18.75" x14ac:dyDescent="0.3">
      <c r="B7" s="5" t="s">
        <v>103</v>
      </c>
    </row>
    <row r="9" spans="1:15" x14ac:dyDescent="0.2">
      <c r="B9" s="38" t="s">
        <v>150</v>
      </c>
      <c r="C9" s="38"/>
      <c r="D9" s="38"/>
    </row>
    <row r="10" spans="1:15" x14ac:dyDescent="0.2">
      <c r="B10" s="38"/>
      <c r="C10" s="38"/>
      <c r="D10" s="38"/>
    </row>
    <row r="11" spans="1:15" x14ac:dyDescent="0.2">
      <c r="B11"/>
      <c r="C11"/>
      <c r="D11"/>
    </row>
    <row r="12" spans="1:15" x14ac:dyDescent="0.2">
      <c r="B12" s="24" t="s">
        <v>104</v>
      </c>
      <c r="C12" s="24" t="s">
        <v>105</v>
      </c>
      <c r="D12" s="24" t="s">
        <v>106</v>
      </c>
    </row>
    <row r="13" spans="1:15" x14ac:dyDescent="0.2">
      <c r="B13" s="25">
        <v>23345</v>
      </c>
      <c r="C13" s="25" t="s">
        <v>107</v>
      </c>
      <c r="D13" s="25" t="s">
        <v>108</v>
      </c>
    </row>
    <row r="14" spans="1:15" x14ac:dyDescent="0.2">
      <c r="B14" s="25">
        <v>23278</v>
      </c>
      <c r="C14" s="25" t="s">
        <v>109</v>
      </c>
      <c r="D14" s="25" t="s">
        <v>110</v>
      </c>
    </row>
    <row r="15" spans="1:15" x14ac:dyDescent="0.2">
      <c r="B15" s="25">
        <v>23303</v>
      </c>
      <c r="C15" s="25" t="s">
        <v>111</v>
      </c>
      <c r="D15" s="26" t="s">
        <v>112</v>
      </c>
    </row>
    <row r="16" spans="1:15" x14ac:dyDescent="0.2">
      <c r="B16" s="27">
        <v>23353</v>
      </c>
      <c r="C16" s="27" t="s">
        <v>113</v>
      </c>
      <c r="D16" s="28" t="s">
        <v>114</v>
      </c>
    </row>
    <row r="17" spans="2:4" x14ac:dyDescent="0.2">
      <c r="B17" s="25">
        <v>23289</v>
      </c>
      <c r="C17" s="25" t="s">
        <v>115</v>
      </c>
      <c r="D17" s="26" t="s">
        <v>116</v>
      </c>
    </row>
    <row r="18" spans="2:4" x14ac:dyDescent="0.2">
      <c r="B18" s="25">
        <v>23378</v>
      </c>
      <c r="C18" s="25" t="s">
        <v>117</v>
      </c>
      <c r="D18" s="26" t="s">
        <v>118</v>
      </c>
    </row>
    <row r="19" spans="2:4" x14ac:dyDescent="0.2">
      <c r="B19" s="25">
        <v>23283</v>
      </c>
      <c r="C19" s="25" t="s">
        <v>119</v>
      </c>
      <c r="D19" s="26" t="s">
        <v>120</v>
      </c>
    </row>
    <row r="20" spans="2:4" x14ac:dyDescent="0.2">
      <c r="B20" s="29">
        <v>23324</v>
      </c>
      <c r="C20" s="29" t="s">
        <v>121</v>
      </c>
      <c r="D20" s="29" t="s">
        <v>122</v>
      </c>
    </row>
    <row r="21" spans="2:4" x14ac:dyDescent="0.2">
      <c r="B21" s="25">
        <v>23264</v>
      </c>
      <c r="C21" s="25" t="s">
        <v>123</v>
      </c>
      <c r="D21" s="26" t="s">
        <v>124</v>
      </c>
    </row>
    <row r="22" spans="2:4" x14ac:dyDescent="0.2">
      <c r="B22" s="25">
        <v>23291</v>
      </c>
      <c r="C22" s="25" t="s">
        <v>125</v>
      </c>
      <c r="D22" s="26" t="s">
        <v>126</v>
      </c>
    </row>
    <row r="23" spans="2:4" x14ac:dyDescent="0.2">
      <c r="B23" s="25">
        <v>23305</v>
      </c>
      <c r="C23" s="25" t="s">
        <v>127</v>
      </c>
      <c r="D23" s="25" t="s">
        <v>128</v>
      </c>
    </row>
    <row r="24" spans="2:4" x14ac:dyDescent="0.2">
      <c r="B24" s="25">
        <v>23350</v>
      </c>
      <c r="C24" s="25" t="s">
        <v>129</v>
      </c>
      <c r="D24" s="25" t="s">
        <v>130</v>
      </c>
    </row>
    <row r="25" spans="2:4" x14ac:dyDescent="0.2">
      <c r="B25" s="25">
        <v>23300</v>
      </c>
      <c r="C25" s="25" t="s">
        <v>131</v>
      </c>
      <c r="D25" s="25" t="s">
        <v>132</v>
      </c>
    </row>
    <row r="26" spans="2:4" x14ac:dyDescent="0.2">
      <c r="B26" s="25">
        <v>23348</v>
      </c>
      <c r="C26" s="25" t="s">
        <v>133</v>
      </c>
      <c r="D26" s="25" t="s">
        <v>134</v>
      </c>
    </row>
    <row r="27" spans="2:4" x14ac:dyDescent="0.2">
      <c r="B27" s="25">
        <v>23290</v>
      </c>
      <c r="C27" s="25" t="s">
        <v>135</v>
      </c>
      <c r="D27" s="25" t="s">
        <v>136</v>
      </c>
    </row>
    <row r="28" spans="2:4" x14ac:dyDescent="0.2">
      <c r="B28" s="25">
        <v>23328</v>
      </c>
      <c r="C28" s="25" t="s">
        <v>137</v>
      </c>
      <c r="D28" s="25" t="s">
        <v>138</v>
      </c>
    </row>
    <row r="29" spans="2:4" x14ac:dyDescent="0.2">
      <c r="B29" s="25">
        <v>23294</v>
      </c>
      <c r="C29" s="25" t="s">
        <v>139</v>
      </c>
      <c r="D29" s="25" t="s">
        <v>140</v>
      </c>
    </row>
    <row r="30" spans="2:4" customFormat="1" x14ac:dyDescent="0.2">
      <c r="B30" s="29">
        <v>23324</v>
      </c>
      <c r="C30" s="29" t="s">
        <v>121</v>
      </c>
      <c r="D30" s="29" t="s">
        <v>122</v>
      </c>
    </row>
    <row r="31" spans="2:4" customFormat="1" x14ac:dyDescent="0.2">
      <c r="B31" s="25">
        <v>23350</v>
      </c>
      <c r="C31" s="25" t="s">
        <v>129</v>
      </c>
      <c r="D31" s="25" t="s">
        <v>130</v>
      </c>
    </row>
    <row r="32" spans="2:4" customFormat="1" ht="14.45" customHeight="1" x14ac:dyDescent="0.2">
      <c r="B32" s="25">
        <v>23303</v>
      </c>
      <c r="C32" s="25" t="s">
        <v>111</v>
      </c>
      <c r="D32" s="26" t="s">
        <v>112</v>
      </c>
    </row>
    <row r="33" spans="2:8" customFormat="1" x14ac:dyDescent="0.2">
      <c r="B33" s="25">
        <v>23289</v>
      </c>
      <c r="C33" s="25" t="s">
        <v>115</v>
      </c>
      <c r="D33" s="26" t="s">
        <v>116</v>
      </c>
    </row>
    <row r="34" spans="2:8" customFormat="1" ht="12" x14ac:dyDescent="0.2"/>
    <row r="35" spans="2:8" customFormat="1" ht="12" x14ac:dyDescent="0.2"/>
    <row r="36" spans="2:8" s="41" customFormat="1" ht="15.75" customHeight="1" x14ac:dyDescent="0.2">
      <c r="F36" s="48" t="s">
        <v>104</v>
      </c>
      <c r="G36" s="48" t="s">
        <v>105</v>
      </c>
      <c r="H36" s="48" t="s">
        <v>106</v>
      </c>
    </row>
    <row r="37" spans="2:8" s="41" customFormat="1" ht="15.75" customHeight="1" x14ac:dyDescent="0.2">
      <c r="F37" s="49">
        <v>23345</v>
      </c>
      <c r="G37" s="49" t="s">
        <v>107</v>
      </c>
      <c r="H37" s="49" t="s">
        <v>108</v>
      </c>
    </row>
    <row r="38" spans="2:8" s="41" customFormat="1" ht="15.75" customHeight="1" x14ac:dyDescent="0.2">
      <c r="F38" s="49">
        <v>23278</v>
      </c>
      <c r="G38" s="49" t="s">
        <v>109</v>
      </c>
      <c r="H38" s="49" t="s">
        <v>110</v>
      </c>
    </row>
    <row r="39" spans="2:8" s="41" customFormat="1" ht="15.75" customHeight="1" x14ac:dyDescent="0.2">
      <c r="F39" s="49">
        <v>23303</v>
      </c>
      <c r="G39" s="49" t="s">
        <v>111</v>
      </c>
      <c r="H39" s="50" t="s">
        <v>112</v>
      </c>
    </row>
    <row r="40" spans="2:8" s="41" customFormat="1" ht="15.75" customHeight="1" x14ac:dyDescent="0.2">
      <c r="F40" s="51">
        <v>23353</v>
      </c>
      <c r="G40" s="51" t="s">
        <v>113</v>
      </c>
      <c r="H40" s="52" t="s">
        <v>114</v>
      </c>
    </row>
    <row r="41" spans="2:8" s="41" customFormat="1" ht="15.75" customHeight="1" x14ac:dyDescent="0.2">
      <c r="F41" s="49">
        <v>23289</v>
      </c>
      <c r="G41" s="49" t="s">
        <v>115</v>
      </c>
      <c r="H41" s="50" t="s">
        <v>116</v>
      </c>
    </row>
    <row r="42" spans="2:8" s="41" customFormat="1" ht="15.75" customHeight="1" x14ac:dyDescent="0.2">
      <c r="F42" s="49">
        <v>23378</v>
      </c>
      <c r="G42" s="49" t="s">
        <v>117</v>
      </c>
      <c r="H42" s="50" t="s">
        <v>118</v>
      </c>
    </row>
    <row r="43" spans="2:8" s="41" customFormat="1" ht="15.75" customHeight="1" x14ac:dyDescent="0.2">
      <c r="F43" s="49">
        <v>23283</v>
      </c>
      <c r="G43" s="49" t="s">
        <v>119</v>
      </c>
      <c r="H43" s="50" t="s">
        <v>120</v>
      </c>
    </row>
    <row r="44" spans="2:8" s="41" customFormat="1" ht="15.75" customHeight="1" x14ac:dyDescent="0.2">
      <c r="F44" s="53">
        <v>23324</v>
      </c>
      <c r="G44" s="53" t="s">
        <v>121</v>
      </c>
      <c r="H44" s="53" t="s">
        <v>122</v>
      </c>
    </row>
    <row r="45" spans="2:8" s="41" customFormat="1" ht="15.75" customHeight="1" x14ac:dyDescent="0.2">
      <c r="F45" s="49">
        <v>23264</v>
      </c>
      <c r="G45" s="49" t="s">
        <v>123</v>
      </c>
      <c r="H45" s="50" t="s">
        <v>124</v>
      </c>
    </row>
    <row r="46" spans="2:8" s="41" customFormat="1" ht="15.75" customHeight="1" x14ac:dyDescent="0.2">
      <c r="F46" s="49">
        <v>23291</v>
      </c>
      <c r="G46" s="49" t="s">
        <v>125</v>
      </c>
      <c r="H46" s="50" t="s">
        <v>126</v>
      </c>
    </row>
    <row r="47" spans="2:8" s="41" customFormat="1" ht="15.75" customHeight="1" x14ac:dyDescent="0.2">
      <c r="F47" s="49">
        <v>23305</v>
      </c>
      <c r="G47" s="49" t="s">
        <v>127</v>
      </c>
      <c r="H47" s="49" t="s">
        <v>128</v>
      </c>
    </row>
    <row r="48" spans="2:8" s="41" customFormat="1" ht="15.75" customHeight="1" x14ac:dyDescent="0.2">
      <c r="F48" s="49">
        <v>23350</v>
      </c>
      <c r="G48" s="49" t="s">
        <v>129</v>
      </c>
      <c r="H48" s="49" t="s">
        <v>130</v>
      </c>
    </row>
    <row r="49" spans="6:8" s="41" customFormat="1" ht="15.75" customHeight="1" x14ac:dyDescent="0.2">
      <c r="F49" s="49">
        <v>23300</v>
      </c>
      <c r="G49" s="49" t="s">
        <v>131</v>
      </c>
      <c r="H49" s="49" t="s">
        <v>132</v>
      </c>
    </row>
    <row r="50" spans="6:8" s="41" customFormat="1" ht="15.75" customHeight="1" x14ac:dyDescent="0.2">
      <c r="F50" s="49">
        <v>23348</v>
      </c>
      <c r="G50" s="49" t="s">
        <v>133</v>
      </c>
      <c r="H50" s="49" t="s">
        <v>134</v>
      </c>
    </row>
    <row r="51" spans="6:8" s="41" customFormat="1" ht="15.75" customHeight="1" x14ac:dyDescent="0.2">
      <c r="F51" s="49">
        <v>23290</v>
      </c>
      <c r="G51" s="49" t="s">
        <v>135</v>
      </c>
      <c r="H51" s="49" t="s">
        <v>136</v>
      </c>
    </row>
    <row r="52" spans="6:8" s="41" customFormat="1" ht="15.75" customHeight="1" x14ac:dyDescent="0.2">
      <c r="F52" s="49">
        <v>23328</v>
      </c>
      <c r="G52" s="49" t="s">
        <v>137</v>
      </c>
      <c r="H52" s="49" t="s">
        <v>138</v>
      </c>
    </row>
    <row r="53" spans="6:8" s="41" customFormat="1" ht="15.75" customHeight="1" x14ac:dyDescent="0.2">
      <c r="F53" s="49">
        <v>23294</v>
      </c>
      <c r="G53" s="49" t="s">
        <v>139</v>
      </c>
      <c r="H53" s="49" t="s">
        <v>140</v>
      </c>
    </row>
    <row r="54" spans="6:8" s="41" customFormat="1" ht="15.75" customHeight="1" x14ac:dyDescent="0.2">
      <c r="F54"/>
      <c r="G54"/>
      <c r="H54"/>
    </row>
    <row r="55" spans="6:8" s="41" customFormat="1" ht="15.75" customHeight="1" x14ac:dyDescent="0.2">
      <c r="F55"/>
      <c r="G55"/>
      <c r="H55"/>
    </row>
    <row r="56" spans="6:8" s="40" customFormat="1" ht="15.75" customHeight="1" x14ac:dyDescent="0.2">
      <c r="F56"/>
      <c r="G56"/>
      <c r="H56"/>
    </row>
    <row r="57" spans="6:8" s="40" customFormat="1" ht="15.75" customHeight="1" x14ac:dyDescent="0.2">
      <c r="F57"/>
      <c r="G57"/>
      <c r="H57"/>
    </row>
  </sheetData>
  <mergeCells count="1">
    <mergeCell ref="B9:D10"/>
  </mergeCells>
  <conditionalFormatting sqref="B13:D29">
    <cfRule type="expression" dxfId="10" priority="10">
      <formula>MOD(ROW(B13),2)</formula>
    </cfRule>
  </conditionalFormatting>
  <conditionalFormatting sqref="B30:D30">
    <cfRule type="expression" dxfId="9" priority="9">
      <formula>MOD(ROW(B30),2)</formula>
    </cfRule>
  </conditionalFormatting>
  <conditionalFormatting sqref="B32:D32">
    <cfRule type="expression" dxfId="8" priority="8">
      <formula>MOD(ROW(B32),2)</formula>
    </cfRule>
  </conditionalFormatting>
  <conditionalFormatting sqref="B33:D33">
    <cfRule type="expression" dxfId="7" priority="7">
      <formula>MOD(ROW(B33),2)</formula>
    </cfRule>
  </conditionalFormatting>
  <conditionalFormatting sqref="B31:D31">
    <cfRule type="expression" dxfId="6" priority="6">
      <formula>MOD(ROW(B31),2)</formula>
    </cfRule>
  </conditionalFormatting>
  <conditionalFormatting sqref="F37:H53">
    <cfRule type="expression" dxfId="4" priority="5">
      <formula>MOD(ROW(F37),2)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Duplicates_Send_To_5A">
                <anchor moveWithCells="1" sizeWithCells="1">
                  <from>
                    <xdr:col>5</xdr:col>
                    <xdr:colOff>161925</xdr:colOff>
                    <xdr:row>18</xdr:row>
                    <xdr:rowOff>123825</xdr:rowOff>
                  </from>
                  <to>
                    <xdr:col>8</xdr:col>
                    <xdr:colOff>295275</xdr:colOff>
                    <xdr:row>22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39997558519241921"/>
  </sheetPr>
  <dimension ref="A1:O55"/>
  <sheetViews>
    <sheetView showGridLines="0" zoomScale="80" zoomScaleNormal="80" workbookViewId="0">
      <selection activeCell="D1" sqref="D1"/>
    </sheetView>
  </sheetViews>
  <sheetFormatPr defaultColWidth="9.33203125" defaultRowHeight="12.75" x14ac:dyDescent="0.2"/>
  <cols>
    <col min="1" max="1" width="9.33203125" style="2"/>
    <col min="2" max="2" width="28.6640625" style="2" bestFit="1" customWidth="1"/>
    <col min="3" max="3" width="35.5" style="2" customWidth="1"/>
    <col min="4" max="4" width="53.6640625" style="2" customWidth="1"/>
    <col min="5" max="16384" width="9.33203125" style="2"/>
  </cols>
  <sheetData>
    <row r="1" spans="1:15" x14ac:dyDescent="0.2">
      <c r="A1" s="3" t="str">
        <f>Introduction!A1</f>
        <v>Problem Solving with Excel</v>
      </c>
    </row>
    <row r="2" spans="1:15" x14ac:dyDescent="0.2">
      <c r="A2" s="3" t="str">
        <f>Introduction!A2</f>
        <v>Week 2</v>
      </c>
    </row>
    <row r="3" spans="1:15" x14ac:dyDescent="0.2">
      <c r="A3" s="3" t="str">
        <f>Introduction!A3</f>
        <v>Data Cleansing - Values</v>
      </c>
    </row>
    <row r="4" spans="1:15" x14ac:dyDescent="0.2">
      <c r="A4" s="3" t="str">
        <f ca="1">MID(CELL("Filename",G7),SEARCH("]",CELL("Filename",G7),1)+1,100)</f>
        <v>Section 5 - Duplicates (ANS)</v>
      </c>
    </row>
    <row r="5" spans="1:15" x14ac:dyDescent="0.2">
      <c r="O5" s="6"/>
    </row>
    <row r="7" spans="1:15" ht="18.75" x14ac:dyDescent="0.3">
      <c r="B7" s="5" t="s">
        <v>103</v>
      </c>
    </row>
    <row r="9" spans="1:15" ht="13.15" customHeight="1" x14ac:dyDescent="0.2">
      <c r="B9" s="38" t="s">
        <v>150</v>
      </c>
      <c r="C9" s="38"/>
      <c r="D9" s="38"/>
    </row>
    <row r="10" spans="1:15" x14ac:dyDescent="0.2">
      <c r="B10" s="38"/>
      <c r="C10" s="38"/>
      <c r="D10" s="38"/>
    </row>
    <row r="11" spans="1:15" x14ac:dyDescent="0.2">
      <c r="B11"/>
      <c r="C11"/>
      <c r="D11"/>
    </row>
    <row r="12" spans="1:15" x14ac:dyDescent="0.2">
      <c r="B12" s="24" t="s">
        <v>104</v>
      </c>
      <c r="C12" s="24" t="s">
        <v>105</v>
      </c>
      <c r="D12" s="24" t="s">
        <v>106</v>
      </c>
    </row>
    <row r="13" spans="1:15" x14ac:dyDescent="0.2">
      <c r="B13" s="25">
        <v>23345</v>
      </c>
      <c r="C13" s="25" t="s">
        <v>107</v>
      </c>
      <c r="D13" s="25" t="s">
        <v>108</v>
      </c>
    </row>
    <row r="14" spans="1:15" x14ac:dyDescent="0.2">
      <c r="B14" s="25">
        <v>23278</v>
      </c>
      <c r="C14" s="25" t="s">
        <v>109</v>
      </c>
      <c r="D14" s="25" t="s">
        <v>110</v>
      </c>
    </row>
    <row r="15" spans="1:15" x14ac:dyDescent="0.2">
      <c r="B15" s="25">
        <v>23303</v>
      </c>
      <c r="C15" s="25" t="s">
        <v>111</v>
      </c>
      <c r="D15" s="26" t="s">
        <v>112</v>
      </c>
    </row>
    <row r="16" spans="1:15" x14ac:dyDescent="0.2">
      <c r="B16" s="27">
        <v>23353</v>
      </c>
      <c r="C16" s="27" t="s">
        <v>113</v>
      </c>
      <c r="D16" s="28" t="s">
        <v>114</v>
      </c>
    </row>
    <row r="17" spans="2:4" x14ac:dyDescent="0.2">
      <c r="B17" s="25">
        <v>23289</v>
      </c>
      <c r="C17" s="25" t="s">
        <v>115</v>
      </c>
      <c r="D17" s="26" t="s">
        <v>116</v>
      </c>
    </row>
    <row r="18" spans="2:4" x14ac:dyDescent="0.2">
      <c r="B18" s="25">
        <v>23378</v>
      </c>
      <c r="C18" s="25" t="s">
        <v>117</v>
      </c>
      <c r="D18" s="26" t="s">
        <v>118</v>
      </c>
    </row>
    <row r="19" spans="2:4" x14ac:dyDescent="0.2">
      <c r="B19" s="25">
        <v>23283</v>
      </c>
      <c r="C19" s="25" t="s">
        <v>119</v>
      </c>
      <c r="D19" s="26" t="s">
        <v>120</v>
      </c>
    </row>
    <row r="20" spans="2:4" x14ac:dyDescent="0.2">
      <c r="B20" s="29">
        <v>23324</v>
      </c>
      <c r="C20" s="29" t="s">
        <v>121</v>
      </c>
      <c r="D20" s="29" t="s">
        <v>122</v>
      </c>
    </row>
    <row r="21" spans="2:4" x14ac:dyDescent="0.2">
      <c r="B21" s="25">
        <v>23264</v>
      </c>
      <c r="C21" s="25" t="s">
        <v>123</v>
      </c>
      <c r="D21" s="26" t="s">
        <v>124</v>
      </c>
    </row>
    <row r="22" spans="2:4" x14ac:dyDescent="0.2">
      <c r="B22" s="25">
        <v>23291</v>
      </c>
      <c r="C22" s="25" t="s">
        <v>125</v>
      </c>
      <c r="D22" s="26" t="s">
        <v>126</v>
      </c>
    </row>
    <row r="23" spans="2:4" x14ac:dyDescent="0.2">
      <c r="B23" s="25">
        <v>23305</v>
      </c>
      <c r="C23" s="25" t="s">
        <v>127</v>
      </c>
      <c r="D23" s="25" t="s">
        <v>128</v>
      </c>
    </row>
    <row r="24" spans="2:4" x14ac:dyDescent="0.2">
      <c r="B24" s="25">
        <v>23350</v>
      </c>
      <c r="C24" s="25" t="s">
        <v>129</v>
      </c>
      <c r="D24" s="25" t="s">
        <v>130</v>
      </c>
    </row>
    <row r="25" spans="2:4" x14ac:dyDescent="0.2">
      <c r="B25" s="25">
        <v>23300</v>
      </c>
      <c r="C25" s="25" t="s">
        <v>131</v>
      </c>
      <c r="D25" s="25" t="s">
        <v>132</v>
      </c>
    </row>
    <row r="26" spans="2:4" x14ac:dyDescent="0.2">
      <c r="B26" s="25">
        <v>23348</v>
      </c>
      <c r="C26" s="25" t="s">
        <v>133</v>
      </c>
      <c r="D26" s="25" t="s">
        <v>134</v>
      </c>
    </row>
    <row r="27" spans="2:4" x14ac:dyDescent="0.2">
      <c r="B27" s="25">
        <v>23290</v>
      </c>
      <c r="C27" s="25" t="s">
        <v>135</v>
      </c>
      <c r="D27" s="25" t="s">
        <v>136</v>
      </c>
    </row>
    <row r="28" spans="2:4" x14ac:dyDescent="0.2">
      <c r="B28" s="25">
        <v>23328</v>
      </c>
      <c r="C28" s="25" t="s">
        <v>137</v>
      </c>
      <c r="D28" s="25" t="s">
        <v>138</v>
      </c>
    </row>
    <row r="29" spans="2:4" x14ac:dyDescent="0.2">
      <c r="B29" s="25">
        <v>23294</v>
      </c>
      <c r="C29" s="25" t="s">
        <v>139</v>
      </c>
      <c r="D29" s="25" t="s">
        <v>140</v>
      </c>
    </row>
    <row r="30" spans="2:4" customFormat="1" ht="12" x14ac:dyDescent="0.2"/>
    <row r="31" spans="2:4" customFormat="1" ht="12" x14ac:dyDescent="0.2"/>
    <row r="32" spans="2:4" customFormat="1" ht="14.45" customHeight="1" x14ac:dyDescent="0.2"/>
    <row r="33" customFormat="1" ht="12" customHeight="1" x14ac:dyDescent="0.2"/>
    <row r="34" customFormat="1" ht="12" customHeight="1" x14ac:dyDescent="0.2"/>
    <row r="35" customFormat="1" ht="12" x14ac:dyDescent="0.2"/>
    <row r="36" customFormat="1" ht="12" x14ac:dyDescent="0.2"/>
    <row r="37" customFormat="1" ht="12" x14ac:dyDescent="0.2"/>
    <row r="38" customFormat="1" ht="12" x14ac:dyDescent="0.2"/>
    <row r="39" customFormat="1" ht="12" x14ac:dyDescent="0.2"/>
    <row r="40" customFormat="1" ht="12" x14ac:dyDescent="0.2"/>
    <row r="41" customFormat="1" ht="12" x14ac:dyDescent="0.2"/>
    <row r="42" customFormat="1" ht="12" x14ac:dyDescent="0.2"/>
    <row r="43" customFormat="1" ht="12" x14ac:dyDescent="0.2"/>
    <row r="44" customFormat="1" ht="12" x14ac:dyDescent="0.2"/>
    <row r="45" customFormat="1" ht="12" x14ac:dyDescent="0.2"/>
    <row r="46" customFormat="1" ht="12" x14ac:dyDescent="0.2"/>
    <row r="47" customFormat="1" ht="12" x14ac:dyDescent="0.2"/>
    <row r="48" customFormat="1" ht="12" x14ac:dyDescent="0.2"/>
    <row r="49" customFormat="1" ht="12" x14ac:dyDescent="0.2"/>
    <row r="50" customFormat="1" ht="12" x14ac:dyDescent="0.2"/>
    <row r="51" customFormat="1" ht="12" x14ac:dyDescent="0.2"/>
    <row r="52" customFormat="1" ht="12" x14ac:dyDescent="0.2"/>
    <row r="53" customFormat="1" ht="12" x14ac:dyDescent="0.2"/>
    <row r="54" customFormat="1" ht="12" x14ac:dyDescent="0.2"/>
    <row r="55" customFormat="1" ht="12" x14ac:dyDescent="0.2"/>
  </sheetData>
  <mergeCells count="1">
    <mergeCell ref="B9:D10"/>
  </mergeCells>
  <conditionalFormatting sqref="B13:D29">
    <cfRule type="expression" dxfId="5" priority="5">
      <formula>MOD(ROW(B13),2)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ThisWorkbook.Duplicates_Instruction_Send_To_5A">
                <anchor moveWithCells="1" sizeWithCells="1">
                  <from>
                    <xdr:col>4</xdr:col>
                    <xdr:colOff>323850</xdr:colOff>
                    <xdr:row>18</xdr:row>
                    <xdr:rowOff>95250</xdr:rowOff>
                  </from>
                  <to>
                    <xdr:col>7</xdr:col>
                    <xdr:colOff>457200</xdr:colOff>
                    <xdr:row>21</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N53"/>
  <sheetViews>
    <sheetView showGridLines="0" zoomScale="80" zoomScaleNormal="80" workbookViewId="0">
      <selection activeCell="F1" sqref="F1"/>
    </sheetView>
  </sheetViews>
  <sheetFormatPr defaultColWidth="9.33203125" defaultRowHeight="12.75" x14ac:dyDescent="0.2"/>
  <cols>
    <col min="1" max="1" width="9.33203125" style="2"/>
    <col min="2" max="2" width="34.5" style="2" customWidth="1"/>
    <col min="3" max="3" width="52.6640625" style="2" customWidth="1"/>
    <col min="4" max="4" width="32.5" style="2" customWidth="1"/>
    <col min="5" max="6" width="15.33203125" style="2" bestFit="1" customWidth="1"/>
    <col min="7" max="7" width="14.5" style="2" bestFit="1" customWidth="1"/>
    <col min="8" max="8" width="15.83203125" style="2" bestFit="1" customWidth="1"/>
    <col min="9" max="9" width="14.5" style="2" bestFit="1" customWidth="1"/>
    <col min="10" max="16384" width="9.33203125" style="2"/>
  </cols>
  <sheetData>
    <row r="1" spans="1:14" x14ac:dyDescent="0.2">
      <c r="A1" s="3" t="str">
        <f>Introduction!A1</f>
        <v>Problem Solving with Excel</v>
      </c>
    </row>
    <row r="2" spans="1:14" x14ac:dyDescent="0.2">
      <c r="A2" s="3" t="str">
        <f>Introduction!A2</f>
        <v>Week 2</v>
      </c>
    </row>
    <row r="3" spans="1:14" x14ac:dyDescent="0.2">
      <c r="A3" s="3" t="str">
        <f>Introduction!A3</f>
        <v>Data Cleansing - Values</v>
      </c>
    </row>
    <row r="4" spans="1:14" x14ac:dyDescent="0.2">
      <c r="A4" s="3" t="str">
        <f ca="1">MID(CELL("Filename",G7),SEARCH("]",CELL("Filename",G7),1)+1,100)</f>
        <v>Student Exercises</v>
      </c>
    </row>
    <row r="5" spans="1:14" x14ac:dyDescent="0.2">
      <c r="N5" s="6"/>
    </row>
    <row r="7" spans="1:14" ht="18.75" x14ac:dyDescent="0.3">
      <c r="B7" s="5" t="s">
        <v>141</v>
      </c>
    </row>
    <row r="8" spans="1:14" x14ac:dyDescent="0.2">
      <c r="B8" s="38" t="s">
        <v>142</v>
      </c>
      <c r="C8" s="38"/>
      <c r="D8" s="38"/>
      <c r="E8"/>
      <c r="F8"/>
    </row>
    <row r="9" spans="1:14" ht="28.9" customHeight="1" x14ac:dyDescent="0.2">
      <c r="B9" s="38"/>
      <c r="C9" s="38"/>
      <c r="D9" s="38"/>
      <c r="E9"/>
      <c r="F9"/>
    </row>
    <row r="10" spans="1:14" x14ac:dyDescent="0.2">
      <c r="B10"/>
      <c r="C10"/>
      <c r="D10"/>
      <c r="E10"/>
      <c r="F10"/>
    </row>
    <row r="11" spans="1:14" x14ac:dyDescent="0.2">
      <c r="B11" s="13" t="s">
        <v>21</v>
      </c>
      <c r="C11" s="13" t="s">
        <v>22</v>
      </c>
      <c r="D11" s="13" t="s">
        <v>23</v>
      </c>
      <c r="E11"/>
      <c r="F11"/>
    </row>
    <row r="12" spans="1:14" x14ac:dyDescent="0.2">
      <c r="B12" s="12" t="s">
        <v>16</v>
      </c>
      <c r="C12" s="9" t="s">
        <v>24</v>
      </c>
      <c r="D12" s="9" t="s">
        <v>31</v>
      </c>
      <c r="E12"/>
      <c r="F12"/>
    </row>
    <row r="13" spans="1:14" x14ac:dyDescent="0.2">
      <c r="B13" s="10" t="s">
        <v>17</v>
      </c>
      <c r="C13" s="2" t="s">
        <v>25</v>
      </c>
      <c r="D13" s="2" t="s">
        <v>32</v>
      </c>
      <c r="E13"/>
      <c r="F13"/>
    </row>
    <row r="14" spans="1:14" x14ac:dyDescent="0.2">
      <c r="B14" s="12" t="s">
        <v>18</v>
      </c>
      <c r="C14" s="9" t="s">
        <v>26</v>
      </c>
      <c r="D14" s="9" t="s">
        <v>33</v>
      </c>
      <c r="E14"/>
      <c r="F14"/>
    </row>
    <row r="15" spans="1:14" x14ac:dyDescent="0.2">
      <c r="B15" s="10" t="s">
        <v>19</v>
      </c>
      <c r="C15" s="2" t="s">
        <v>27</v>
      </c>
      <c r="D15" s="2" t="s">
        <v>32</v>
      </c>
      <c r="E15"/>
      <c r="F15"/>
    </row>
    <row r="16" spans="1:14" x14ac:dyDescent="0.2">
      <c r="B16" s="12" t="s">
        <v>20</v>
      </c>
      <c r="C16" s="9" t="s">
        <v>28</v>
      </c>
      <c r="D16" s="9" t="s">
        <v>34</v>
      </c>
      <c r="E16"/>
      <c r="F16"/>
    </row>
    <row r="17" spans="2:7" x14ac:dyDescent="0.2">
      <c r="B17" s="36" t="s">
        <v>18</v>
      </c>
      <c r="C17" s="31" t="s">
        <v>30</v>
      </c>
      <c r="D17" s="31" t="s">
        <v>34</v>
      </c>
      <c r="E17"/>
      <c r="F17"/>
    </row>
    <row r="18" spans="2:7" x14ac:dyDescent="0.2">
      <c r="B18" s="12" t="s">
        <v>19</v>
      </c>
      <c r="C18" s="9" t="s">
        <v>29</v>
      </c>
      <c r="D18" s="9" t="s">
        <v>33</v>
      </c>
      <c r="E18"/>
      <c r="F18"/>
      <c r="G18"/>
    </row>
    <row r="19" spans="2:7" x14ac:dyDescent="0.2">
      <c r="B19" s="36" t="s">
        <v>20</v>
      </c>
      <c r="C19" s="31" t="s">
        <v>30</v>
      </c>
      <c r="D19" s="31" t="s">
        <v>34</v>
      </c>
      <c r="E19"/>
      <c r="F19"/>
      <c r="G19"/>
    </row>
    <row r="20" spans="2:7" x14ac:dyDescent="0.2">
      <c r="B20" s="12" t="s">
        <v>18</v>
      </c>
      <c r="C20" s="9" t="s">
        <v>30</v>
      </c>
      <c r="D20" s="9" t="s">
        <v>34</v>
      </c>
      <c r="E20"/>
      <c r="F20"/>
      <c r="G20"/>
    </row>
    <row r="21" spans="2:7" x14ac:dyDescent="0.2">
      <c r="B21" s="36" t="s">
        <v>18</v>
      </c>
      <c r="C21" s="31" t="s">
        <v>26</v>
      </c>
      <c r="D21" s="31" t="s">
        <v>33</v>
      </c>
      <c r="E21"/>
      <c r="F21"/>
    </row>
    <row r="22" spans="2:7" x14ac:dyDescent="0.2">
      <c r="B22" s="12" t="s">
        <v>16</v>
      </c>
      <c r="C22" s="9" t="s">
        <v>24</v>
      </c>
      <c r="D22" s="9" t="s">
        <v>31</v>
      </c>
      <c r="E22"/>
      <c r="F22"/>
      <c r="G22"/>
    </row>
    <row r="23" spans="2:7" x14ac:dyDescent="0.2">
      <c r="B23"/>
      <c r="C23"/>
      <c r="D23"/>
      <c r="E23"/>
      <c r="F23"/>
      <c r="G23"/>
    </row>
    <row r="24" spans="2:7" x14ac:dyDescent="0.2">
      <c r="B24"/>
      <c r="C24"/>
      <c r="D24"/>
      <c r="E24"/>
      <c r="F24"/>
      <c r="G24"/>
    </row>
    <row r="25" spans="2:7" ht="25.5" x14ac:dyDescent="0.2">
      <c r="B25" s="14" t="s">
        <v>36</v>
      </c>
      <c r="C25" s="14" t="s">
        <v>37</v>
      </c>
      <c r="D25" s="14" t="s">
        <v>38</v>
      </c>
      <c r="E25"/>
      <c r="F25"/>
      <c r="G25"/>
    </row>
    <row r="26" spans="2:7" x14ac:dyDescent="0.2">
      <c r="B26" s="11" t="s">
        <v>8</v>
      </c>
      <c r="C26" s="11" t="s">
        <v>39</v>
      </c>
      <c r="D26" s="11" t="s">
        <v>11</v>
      </c>
      <c r="E26"/>
      <c r="F26"/>
      <c r="G26"/>
    </row>
    <row r="27" spans="2:7" x14ac:dyDescent="0.2">
      <c r="B27"/>
      <c r="C27"/>
      <c r="D27"/>
      <c r="E27"/>
      <c r="F27"/>
      <c r="G27"/>
    </row>
    <row r="28" spans="2:7" x14ac:dyDescent="0.2">
      <c r="B28" s="13"/>
      <c r="C28" s="13"/>
      <c r="D28" s="13"/>
      <c r="E28"/>
      <c r="F28"/>
      <c r="G28"/>
    </row>
    <row r="29" spans="2:7" x14ac:dyDescent="0.2">
      <c r="B29" s="12"/>
      <c r="C29" s="9"/>
      <c r="D29" s="9"/>
      <c r="E29"/>
      <c r="F29"/>
      <c r="G29"/>
    </row>
    <row r="30" spans="2:7" x14ac:dyDescent="0.2">
      <c r="B30" s="10"/>
      <c r="E30"/>
      <c r="F30"/>
      <c r="G30"/>
    </row>
    <row r="31" spans="2:7" x14ac:dyDescent="0.2">
      <c r="B31" s="12"/>
      <c r="C31" s="9"/>
      <c r="D31" s="9"/>
      <c r="E31"/>
      <c r="F31"/>
      <c r="G31"/>
    </row>
    <row r="32" spans="2:7" x14ac:dyDescent="0.2">
      <c r="B32" s="10"/>
      <c r="E32"/>
      <c r="F32"/>
      <c r="G32"/>
    </row>
    <row r="33" spans="2:7" x14ac:dyDescent="0.2">
      <c r="B33" s="12"/>
      <c r="C33" s="9"/>
      <c r="D33" s="9"/>
      <c r="E33"/>
      <c r="F33"/>
      <c r="G33"/>
    </row>
    <row r="34" spans="2:7" x14ac:dyDescent="0.2">
      <c r="B34" s="10"/>
    </row>
    <row r="35" spans="2:7" x14ac:dyDescent="0.2">
      <c r="B35" s="12"/>
      <c r="C35" s="9"/>
      <c r="D35" s="9"/>
    </row>
    <row r="38" spans="2:7" ht="18.75" x14ac:dyDescent="0.3">
      <c r="B38" s="5" t="s">
        <v>143</v>
      </c>
    </row>
    <row r="39" spans="2:7" x14ac:dyDescent="0.2">
      <c r="F39"/>
    </row>
    <row r="40" spans="2:7" x14ac:dyDescent="0.2">
      <c r="F40"/>
    </row>
    <row r="41" spans="2:7" x14ac:dyDescent="0.2">
      <c r="B41" s="8" t="s">
        <v>12</v>
      </c>
      <c r="F41"/>
    </row>
    <row r="42" spans="2:7" x14ac:dyDescent="0.2">
      <c r="B42" s="10" t="s">
        <v>72</v>
      </c>
      <c r="F42"/>
    </row>
    <row r="43" spans="2:7" x14ac:dyDescent="0.2">
      <c r="B43" s="10" t="s">
        <v>73</v>
      </c>
      <c r="F43"/>
    </row>
    <row r="44" spans="2:7" x14ac:dyDescent="0.2">
      <c r="B44" s="10" t="s">
        <v>74</v>
      </c>
      <c r="F44"/>
    </row>
    <row r="45" spans="2:7" x14ac:dyDescent="0.2">
      <c r="B45" s="10" t="s">
        <v>75</v>
      </c>
      <c r="F45"/>
    </row>
    <row r="46" spans="2:7" x14ac:dyDescent="0.2">
      <c r="B46" s="10" t="s">
        <v>76</v>
      </c>
      <c r="F46"/>
    </row>
    <row r="47" spans="2:7" x14ac:dyDescent="0.2">
      <c r="F47"/>
    </row>
    <row r="48" spans="2:7" x14ac:dyDescent="0.2">
      <c r="B48" s="13" t="s">
        <v>13</v>
      </c>
      <c r="C48" s="13" t="s">
        <v>14</v>
      </c>
      <c r="D48" s="13" t="s">
        <v>15</v>
      </c>
      <c r="E48" s="13" t="s">
        <v>69</v>
      </c>
      <c r="F48" s="13"/>
    </row>
    <row r="49" spans="2:6" x14ac:dyDescent="0.2">
      <c r="B49" s="9"/>
      <c r="C49" s="9"/>
      <c r="D49" s="9"/>
      <c r="E49" s="9"/>
      <c r="F49" s="9"/>
    </row>
    <row r="51" spans="2:6" x14ac:dyDescent="0.2">
      <c r="B51" s="9"/>
      <c r="C51" s="9"/>
      <c r="D51" s="9"/>
      <c r="E51" s="9"/>
      <c r="F51" s="9"/>
    </row>
    <row r="53" spans="2:6" x14ac:dyDescent="0.2">
      <c r="B53" s="9"/>
      <c r="C53" s="9"/>
      <c r="D53" s="9"/>
      <c r="E53" s="9"/>
      <c r="F53" s="9"/>
    </row>
  </sheetData>
  <mergeCells count="1">
    <mergeCell ref="B8:D9"/>
  </mergeCells>
  <hyperlinks>
    <hyperlink ref="B44" r:id="rId1" display="Beth_Summers_beth.summers@pwc.com_associate"/>
    <hyperlink ref="B46" r:id="rId2" display="Jenna_Stone_Jenne.Stone@pwc.com_Manager"/>
  </hyperlinks>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tudent_Send_To_1">
                <anchor moveWithCells="1" sizeWithCells="1">
                  <from>
                    <xdr:col>4</xdr:col>
                    <xdr:colOff>571500</xdr:colOff>
                    <xdr:row>21</xdr:row>
                    <xdr:rowOff>47625</xdr:rowOff>
                  </from>
                  <to>
                    <xdr:col>6</xdr:col>
                    <xdr:colOff>552450</xdr:colOff>
                    <xdr:row>24</xdr:row>
                    <xdr:rowOff>76200</xdr:rowOff>
                  </to>
                </anchor>
              </controlPr>
            </control>
          </mc:Choice>
        </mc:AlternateContent>
        <mc:AlternateContent xmlns:mc="http://schemas.openxmlformats.org/markup-compatibility/2006">
          <mc:Choice Requires="x14">
            <control shapeId="1026" r:id="rId7" name="Button 2">
              <controlPr defaultSize="0" print="0" autoFill="0" autoPict="0" macro="[0]!ThisWorkbook.Student_Send_To_2">
                <anchor moveWithCells="1" sizeWithCells="1">
                  <from>
                    <xdr:col>6</xdr:col>
                    <xdr:colOff>104775</xdr:colOff>
                    <xdr:row>40</xdr:row>
                    <xdr:rowOff>142875</xdr:rowOff>
                  </from>
                  <to>
                    <xdr:col>8</xdr:col>
                    <xdr:colOff>104775</xdr:colOff>
                    <xdr:row>44</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5" tint="0.39997558519241921"/>
  </sheetPr>
  <dimension ref="A1:P53"/>
  <sheetViews>
    <sheetView showGridLines="0" topLeftCell="A24" zoomScale="80" workbookViewId="0">
      <selection activeCell="F44" sqref="F44"/>
    </sheetView>
  </sheetViews>
  <sheetFormatPr defaultColWidth="9.33203125" defaultRowHeight="12.75" outlineLevelRow="1" x14ac:dyDescent="0.2"/>
  <cols>
    <col min="1" max="1" width="9.33203125" style="2"/>
    <col min="2" max="2" width="24.6640625" style="2" customWidth="1"/>
    <col min="3" max="3" width="52.6640625" style="2" customWidth="1"/>
    <col min="4" max="4" width="41" style="2" customWidth="1"/>
    <col min="5" max="5" width="25.5" style="2" customWidth="1"/>
    <col min="6" max="6" width="18.332031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6" x14ac:dyDescent="0.2">
      <c r="A1" s="3" t="str">
        <f>Introduction!A1</f>
        <v>Problem Solving with Excel</v>
      </c>
    </row>
    <row r="2" spans="1:16" x14ac:dyDescent="0.2">
      <c r="A2" s="3" t="str">
        <f>Introduction!A2</f>
        <v>Week 2</v>
      </c>
    </row>
    <row r="3" spans="1:16" x14ac:dyDescent="0.2">
      <c r="A3" s="3" t="str">
        <f>Introduction!A3</f>
        <v>Data Cleansing - Values</v>
      </c>
    </row>
    <row r="4" spans="1:16" x14ac:dyDescent="0.2">
      <c r="A4" s="3" t="str">
        <f ca="1">MID(CELL("Filename",I7),SEARCH("]",CELL("Filename",I7),1)+1,100)</f>
        <v>Student Exercise Answers</v>
      </c>
    </row>
    <row r="5" spans="1:16" x14ac:dyDescent="0.2">
      <c r="P5" s="6"/>
    </row>
    <row r="7" spans="1:16" ht="18.75" x14ac:dyDescent="0.3">
      <c r="B7" s="5" t="s">
        <v>141</v>
      </c>
    </row>
    <row r="8" spans="1:16" outlineLevel="1" x14ac:dyDescent="0.2">
      <c r="F8"/>
      <c r="G8"/>
    </row>
    <row r="9" spans="1:16" ht="13.15" customHeight="1" outlineLevel="1" x14ac:dyDescent="0.2">
      <c r="B9" s="38" t="s">
        <v>142</v>
      </c>
      <c r="C9" s="38"/>
      <c r="D9" s="38"/>
      <c r="F9"/>
      <c r="G9"/>
      <c r="H9"/>
    </row>
    <row r="10" spans="1:16" outlineLevel="1" x14ac:dyDescent="0.2">
      <c r="B10" s="38"/>
      <c r="C10" s="38"/>
      <c r="D10" s="38"/>
      <c r="E10"/>
      <c r="F10"/>
      <c r="G10"/>
      <c r="H10"/>
    </row>
    <row r="11" spans="1:16" outlineLevel="1" x14ac:dyDescent="0.2">
      <c r="B11"/>
      <c r="C11"/>
      <c r="D11"/>
      <c r="E11"/>
      <c r="F11"/>
      <c r="G11"/>
      <c r="H11"/>
    </row>
    <row r="12" spans="1:16" outlineLevel="1" x14ac:dyDescent="0.2">
      <c r="B12" s="13" t="s">
        <v>21</v>
      </c>
      <c r="C12" s="13" t="s">
        <v>22</v>
      </c>
      <c r="D12" s="13" t="s">
        <v>23</v>
      </c>
      <c r="E12" s="32"/>
      <c r="F12" s="32"/>
      <c r="G12"/>
      <c r="H12"/>
    </row>
    <row r="13" spans="1:16" outlineLevel="1" x14ac:dyDescent="0.2">
      <c r="B13" s="12" t="s">
        <v>16</v>
      </c>
      <c r="C13" s="9" t="s">
        <v>24</v>
      </c>
      <c r="D13" s="20">
        <v>85</v>
      </c>
      <c r="E13" s="33"/>
      <c r="F13" s="33"/>
      <c r="G13"/>
      <c r="H13"/>
    </row>
    <row r="14" spans="1:16" outlineLevel="1" x14ac:dyDescent="0.2">
      <c r="B14" s="10" t="s">
        <v>17</v>
      </c>
      <c r="C14" s="2" t="s">
        <v>25</v>
      </c>
      <c r="D14" s="21">
        <v>7</v>
      </c>
      <c r="E14" s="33"/>
      <c r="F14" s="33"/>
      <c r="G14"/>
      <c r="H14"/>
    </row>
    <row r="15" spans="1:16" outlineLevel="1" x14ac:dyDescent="0.2">
      <c r="B15" s="12" t="s">
        <v>18</v>
      </c>
      <c r="C15" s="9" t="s">
        <v>26</v>
      </c>
      <c r="D15" s="20">
        <v>78</v>
      </c>
      <c r="E15" s="33"/>
      <c r="F15" s="33"/>
      <c r="G15"/>
      <c r="H15"/>
    </row>
    <row r="16" spans="1:16" outlineLevel="1" x14ac:dyDescent="0.2">
      <c r="B16" s="10" t="s">
        <v>19</v>
      </c>
      <c r="C16" s="2" t="s">
        <v>27</v>
      </c>
      <c r="D16" s="21">
        <v>896</v>
      </c>
      <c r="E16" s="33"/>
      <c r="F16" s="33"/>
      <c r="G16"/>
      <c r="H16"/>
    </row>
    <row r="17" spans="2:9" outlineLevel="1" x14ac:dyDescent="0.2">
      <c r="B17" s="12" t="s">
        <v>20</v>
      </c>
      <c r="C17" s="9" t="s">
        <v>28</v>
      </c>
      <c r="D17" s="20">
        <v>48</v>
      </c>
      <c r="E17" s="33"/>
      <c r="F17" s="33"/>
      <c r="G17"/>
      <c r="H17"/>
    </row>
    <row r="18" spans="2:9" outlineLevel="1" x14ac:dyDescent="0.2">
      <c r="B18" s="10" t="s">
        <v>19</v>
      </c>
      <c r="C18" s="2" t="s">
        <v>29</v>
      </c>
      <c r="D18" s="21">
        <v>78</v>
      </c>
      <c r="E18" s="33"/>
      <c r="F18" s="33"/>
      <c r="G18"/>
      <c r="H18"/>
      <c r="I18"/>
    </row>
    <row r="19" spans="2:9" outlineLevel="1" x14ac:dyDescent="0.2">
      <c r="B19" s="12" t="s">
        <v>20</v>
      </c>
      <c r="C19" s="9" t="s">
        <v>30</v>
      </c>
      <c r="D19" s="20">
        <v>457</v>
      </c>
      <c r="E19" s="33"/>
      <c r="F19" s="33"/>
      <c r="G19"/>
      <c r="H19"/>
      <c r="I19"/>
    </row>
    <row r="20" spans="2:9" outlineLevel="1" x14ac:dyDescent="0.2">
      <c r="B20"/>
      <c r="C20"/>
      <c r="D20"/>
      <c r="E20" s="34"/>
      <c r="F20" s="34"/>
      <c r="G20"/>
      <c r="H20"/>
      <c r="I20"/>
    </row>
    <row r="21" spans="2:9" outlineLevel="1" x14ac:dyDescent="0.2">
      <c r="B21"/>
      <c r="C21"/>
      <c r="D21"/>
      <c r="E21" s="34"/>
      <c r="F21" s="34"/>
      <c r="G21"/>
      <c r="H21"/>
      <c r="I21"/>
    </row>
    <row r="22" spans="2:9" outlineLevel="1" x14ac:dyDescent="0.2">
      <c r="B22"/>
      <c r="C22"/>
      <c r="D22"/>
      <c r="E22" s="34"/>
      <c r="F22" s="34"/>
      <c r="G22"/>
      <c r="H22"/>
      <c r="I22"/>
    </row>
    <row r="23" spans="2:9" ht="25.5" outlineLevel="1" x14ac:dyDescent="0.2">
      <c r="B23" s="14" t="s">
        <v>36</v>
      </c>
      <c r="C23" s="14" t="s">
        <v>37</v>
      </c>
      <c r="D23" s="14" t="s">
        <v>38</v>
      </c>
      <c r="E23" s="14"/>
      <c r="F23" s="14"/>
      <c r="G23"/>
      <c r="H23"/>
      <c r="I23"/>
    </row>
    <row r="24" spans="2:9" outlineLevel="1" x14ac:dyDescent="0.2">
      <c r="B24" s="11" t="s">
        <v>8</v>
      </c>
      <c r="C24" s="11" t="s">
        <v>39</v>
      </c>
      <c r="D24" s="11" t="s">
        <v>11</v>
      </c>
      <c r="E24" s="35"/>
      <c r="F24" s="35"/>
      <c r="G24"/>
      <c r="H24"/>
      <c r="I24"/>
    </row>
    <row r="25" spans="2:9" outlineLevel="1" x14ac:dyDescent="0.2">
      <c r="B25"/>
      <c r="C25"/>
      <c r="D25"/>
      <c r="E25" s="34"/>
      <c r="F25" s="34"/>
      <c r="G25"/>
      <c r="H25"/>
      <c r="I25"/>
    </row>
    <row r="26" spans="2:9" outlineLevel="1" x14ac:dyDescent="0.2">
      <c r="B26" s="13"/>
      <c r="C26" s="13"/>
      <c r="D26" s="13"/>
      <c r="E26" s="32"/>
      <c r="F26" s="32"/>
      <c r="G26"/>
      <c r="H26"/>
      <c r="I26"/>
    </row>
    <row r="27" spans="2:9" outlineLevel="1" x14ac:dyDescent="0.2">
      <c r="B27" s="12" t="str">
        <f>CLEAN(B13)</f>
        <v>PROGRAF</v>
      </c>
      <c r="C27" s="9" t="str">
        <f>TRIM(SUBSTITUTE(C13, ",", "."))</f>
        <v>PROGRAF 5MG 50CAPSULAS PROIBID</v>
      </c>
      <c r="D27" s="15">
        <f>VALUE(D13)</f>
        <v>85</v>
      </c>
      <c r="E27" s="33"/>
      <c r="F27" s="33"/>
      <c r="G27"/>
      <c r="H27"/>
      <c r="I27"/>
    </row>
    <row r="28" spans="2:9" outlineLevel="1" x14ac:dyDescent="0.2">
      <c r="B28" s="10" t="str">
        <f>CLEAN(B14)</f>
        <v>PARIET</v>
      </c>
      <c r="C28" s="2" t="str">
        <f t="shared" ref="C28:C33" si="0">TRIM(SUBSTITUTE(C14, ",", "."))</f>
        <v>PARIET 20 MG 28 CP OR</v>
      </c>
      <c r="D28" s="16">
        <f t="shared" ref="D28:D33" si="1">VALUE(D14)</f>
        <v>7</v>
      </c>
      <c r="E28" s="33"/>
      <c r="F28" s="33"/>
      <c r="G28"/>
      <c r="H28"/>
      <c r="I28"/>
    </row>
    <row r="29" spans="2:9" outlineLevel="1" x14ac:dyDescent="0.2">
      <c r="B29" s="12" t="str">
        <f t="shared" ref="B29:B33" si="2">CLEAN(B15)</f>
        <v>CONCERTA</v>
      </c>
      <c r="C29" s="9" t="str">
        <f t="shared" si="0"/>
        <v>CONCERTA 54MG FR 30CP OR</v>
      </c>
      <c r="D29" s="15">
        <f t="shared" si="1"/>
        <v>78</v>
      </c>
      <c r="E29" s="33"/>
      <c r="F29" s="33"/>
      <c r="G29"/>
      <c r="H29"/>
      <c r="I29"/>
    </row>
    <row r="30" spans="2:9" outlineLevel="1" x14ac:dyDescent="0.2">
      <c r="B30" s="10" t="str">
        <f t="shared" si="2"/>
        <v>LEUSTATIN</v>
      </c>
      <c r="C30" s="2" t="str">
        <f t="shared" si="0"/>
        <v>LEUSTATIN INJ CT C/ 1 FR AMP</v>
      </c>
      <c r="D30" s="16">
        <f t="shared" si="1"/>
        <v>896</v>
      </c>
      <c r="E30" s="33"/>
      <c r="F30" s="33"/>
      <c r="G30"/>
      <c r="H30"/>
      <c r="I30"/>
    </row>
    <row r="31" spans="2:9" outlineLevel="1" x14ac:dyDescent="0.2">
      <c r="B31" s="12" t="str">
        <f t="shared" si="2"/>
        <v>VELCADE</v>
      </c>
      <c r="C31" s="9" t="str">
        <f t="shared" si="0"/>
        <v>VELCADE 3.5 MG OR</v>
      </c>
      <c r="D31" s="15">
        <f t="shared" si="1"/>
        <v>48</v>
      </c>
      <c r="E31" s="33"/>
      <c r="F31" s="33"/>
      <c r="G31"/>
      <c r="H31"/>
      <c r="I31"/>
    </row>
    <row r="32" spans="2:9" outlineLevel="1" x14ac:dyDescent="0.2">
      <c r="B32" s="10" t="str">
        <f t="shared" si="2"/>
        <v>LEUSTATIN</v>
      </c>
      <c r="C32" s="2" t="str">
        <f t="shared" si="0"/>
        <v>LEUSTATIN INJ CT C/ 1 FR AMP</v>
      </c>
      <c r="D32" s="16">
        <f t="shared" si="1"/>
        <v>78</v>
      </c>
      <c r="E32" s="33"/>
      <c r="F32" s="33"/>
      <c r="H32"/>
    </row>
    <row r="33" spans="2:8" outlineLevel="1" x14ac:dyDescent="0.2">
      <c r="B33" s="12" t="str">
        <f t="shared" si="2"/>
        <v>VELCADE</v>
      </c>
      <c r="C33" s="9" t="str">
        <f t="shared" si="0"/>
        <v>VELCADE 3.5 MG OR</v>
      </c>
      <c r="D33" s="15">
        <f t="shared" si="1"/>
        <v>457</v>
      </c>
      <c r="E33" s="33"/>
      <c r="F33" s="33"/>
      <c r="H33"/>
    </row>
    <row r="34" spans="2:8" outlineLevel="1" x14ac:dyDescent="0.2"/>
    <row r="35" spans="2:8" ht="18.75" x14ac:dyDescent="0.3">
      <c r="B35" s="5" t="s">
        <v>40</v>
      </c>
    </row>
    <row r="36" spans="2:8" outlineLevel="1" x14ac:dyDescent="0.2">
      <c r="F36"/>
      <c r="G36"/>
      <c r="H36"/>
    </row>
    <row r="37" spans="2:8" outlineLevel="1" x14ac:dyDescent="0.2">
      <c r="F37"/>
      <c r="G37"/>
      <c r="H37"/>
    </row>
    <row r="38" spans="2:8" outlineLevel="1" x14ac:dyDescent="0.2">
      <c r="B38" s="8" t="s">
        <v>12</v>
      </c>
      <c r="F38"/>
      <c r="G38"/>
      <c r="H38"/>
    </row>
    <row r="39" spans="2:8" outlineLevel="1" x14ac:dyDescent="0.2">
      <c r="B39" s="10" t="s">
        <v>72</v>
      </c>
      <c r="F39"/>
      <c r="G39"/>
      <c r="H39"/>
    </row>
    <row r="40" spans="2:8" outlineLevel="1" x14ac:dyDescent="0.2">
      <c r="B40" s="10" t="s">
        <v>73</v>
      </c>
      <c r="F40"/>
      <c r="G40"/>
      <c r="H40"/>
    </row>
    <row r="41" spans="2:8" outlineLevel="1" x14ac:dyDescent="0.2">
      <c r="B41" s="10" t="s">
        <v>74</v>
      </c>
      <c r="F41"/>
      <c r="G41"/>
      <c r="H41"/>
    </row>
    <row r="42" spans="2:8" outlineLevel="1" x14ac:dyDescent="0.2">
      <c r="B42" s="10" t="s">
        <v>75</v>
      </c>
      <c r="F42"/>
      <c r="G42"/>
      <c r="H42"/>
    </row>
    <row r="43" spans="2:8" outlineLevel="1" x14ac:dyDescent="0.2">
      <c r="B43" s="10" t="s">
        <v>76</v>
      </c>
      <c r="F43"/>
      <c r="G43"/>
      <c r="H43"/>
    </row>
    <row r="44" spans="2:8" outlineLevel="1" x14ac:dyDescent="0.2">
      <c r="F44"/>
      <c r="G44"/>
      <c r="H44"/>
    </row>
    <row r="45" spans="2:8" outlineLevel="1" x14ac:dyDescent="0.2">
      <c r="B45" s="13" t="s">
        <v>13</v>
      </c>
      <c r="C45" s="13" t="s">
        <v>14</v>
      </c>
      <c r="D45" s="13" t="s">
        <v>15</v>
      </c>
      <c r="E45" s="13" t="s">
        <v>69</v>
      </c>
      <c r="F45" s="13"/>
      <c r="G45"/>
      <c r="H45"/>
    </row>
    <row r="46" spans="2:8" outlineLevel="1" x14ac:dyDescent="0.2">
      <c r="B46" s="9" t="s">
        <v>41</v>
      </c>
      <c r="C46" s="9" t="s">
        <v>42</v>
      </c>
      <c r="D46" s="9" t="s">
        <v>79</v>
      </c>
      <c r="E46" s="9" t="s">
        <v>43</v>
      </c>
      <c r="F46" s="9"/>
      <c r="G46"/>
      <c r="H46"/>
    </row>
    <row r="47" spans="2:8" outlineLevel="1" x14ac:dyDescent="0.2">
      <c r="B47" s="2" t="s">
        <v>44</v>
      </c>
      <c r="C47" s="2" t="s">
        <v>45</v>
      </c>
      <c r="D47" s="2" t="s">
        <v>80</v>
      </c>
      <c r="E47" s="2" t="s">
        <v>46</v>
      </c>
      <c r="G47"/>
      <c r="H47"/>
    </row>
    <row r="48" spans="2:8" outlineLevel="1" x14ac:dyDescent="0.2">
      <c r="B48" s="9" t="s">
        <v>47</v>
      </c>
      <c r="C48" s="9" t="s">
        <v>48</v>
      </c>
      <c r="D48" s="9" t="s">
        <v>81</v>
      </c>
      <c r="E48" s="9" t="s">
        <v>49</v>
      </c>
      <c r="F48" s="9"/>
      <c r="G48"/>
      <c r="H48"/>
    </row>
    <row r="49" spans="2:8" outlineLevel="1" x14ac:dyDescent="0.2">
      <c r="B49" s="2" t="s">
        <v>50</v>
      </c>
      <c r="C49" s="2" t="s">
        <v>51</v>
      </c>
      <c r="D49" s="2" t="s">
        <v>82</v>
      </c>
      <c r="E49" s="2" t="s">
        <v>52</v>
      </c>
      <c r="G49"/>
      <c r="H49"/>
    </row>
    <row r="50" spans="2:8" outlineLevel="1" x14ac:dyDescent="0.2">
      <c r="B50" s="9" t="s">
        <v>53</v>
      </c>
      <c r="C50" s="9" t="s">
        <v>54</v>
      </c>
      <c r="D50" s="9" t="s">
        <v>83</v>
      </c>
      <c r="E50" s="9" t="s">
        <v>43</v>
      </c>
      <c r="F50" s="9"/>
    </row>
    <row r="51" spans="2:8" outlineLevel="1" x14ac:dyDescent="0.2"/>
    <row r="52" spans="2:8" outlineLevel="1" x14ac:dyDescent="0.2"/>
    <row r="53" spans="2:8" outlineLevel="1" x14ac:dyDescent="0.2"/>
  </sheetData>
  <mergeCells count="1">
    <mergeCell ref="B9:D10"/>
  </mergeCells>
  <hyperlinks>
    <hyperlink ref="B41" r:id="rId1" display="Beth_Summers_beth.summers@pwc.com_associate"/>
    <hyperlink ref="B43" r:id="rId2" display="Jenna_Stone_Jenne.Stone@pwc.com_Manager"/>
  </hyperlinks>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4337" r:id="rId6" name="Button 1">
              <controlPr defaultSize="0" print="0" autoFill="0" autoPict="0" macro="[0]!ThisWorkbook.Student_Instruction_Send_To_1">
                <anchor moveWithCells="1" sizeWithCells="1">
                  <from>
                    <xdr:col>4</xdr:col>
                    <xdr:colOff>990600</xdr:colOff>
                    <xdr:row>18</xdr:row>
                    <xdr:rowOff>161925</xdr:rowOff>
                  </from>
                  <to>
                    <xdr:col>6</xdr:col>
                    <xdr:colOff>228600</xdr:colOff>
                    <xdr:row>22</xdr:row>
                    <xdr:rowOff>28575</xdr:rowOff>
                  </to>
                </anchor>
              </controlPr>
            </control>
          </mc:Choice>
        </mc:AlternateContent>
        <mc:AlternateContent xmlns:mc="http://schemas.openxmlformats.org/markup-compatibility/2006">
          <mc:Choice Requires="x14">
            <control shapeId="14338" r:id="rId7" name="Button 2">
              <controlPr defaultSize="0" print="0" autoFill="0" autoPict="0" macro="[0]!ThisWorkbook.Student_Instruction_Send_To_2">
                <anchor moveWithCells="1" sizeWithCells="1">
                  <from>
                    <xdr:col>4</xdr:col>
                    <xdr:colOff>714375</xdr:colOff>
                    <xdr:row>38</xdr:row>
                    <xdr:rowOff>9525</xdr:rowOff>
                  </from>
                  <to>
                    <xdr:col>5</xdr:col>
                    <xdr:colOff>1000125</xdr:colOff>
                    <xdr:row>41</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4"/>
  <sheetViews>
    <sheetView showGridLines="0" zoomScale="80" workbookViewId="0"/>
  </sheetViews>
  <sheetFormatPr defaultColWidth="9.33203125" defaultRowHeight="12.75" x14ac:dyDescent="0.2"/>
  <cols>
    <col min="1" max="16384" width="9.33203125" style="2"/>
  </cols>
  <sheetData>
    <row r="1" spans="1:1" x14ac:dyDescent="0.2">
      <c r="A1" s="3" t="str">
        <f>Introduction!A1</f>
        <v>Problem Solving with Excel</v>
      </c>
    </row>
    <row r="2" spans="1:1" x14ac:dyDescent="0.2">
      <c r="A2" s="3" t="str">
        <f>Introduction!A2</f>
        <v>Week 2</v>
      </c>
    </row>
    <row r="3" spans="1:1" x14ac:dyDescent="0.2">
      <c r="A3" s="3" t="str">
        <f>Introduction!A3</f>
        <v>Data Cleansing - Values</v>
      </c>
    </row>
    <row r="4" spans="1:1" x14ac:dyDescent="0.2">
      <c r="A4" s="3" t="s">
        <v>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Table of contents</vt:lpstr>
      <vt:lpstr>Section 1 - Import</vt:lpstr>
      <vt:lpstr>Section 1 - Import (ANS)</vt:lpstr>
      <vt:lpstr>Section 2 - Trim</vt:lpstr>
      <vt:lpstr>Section 2 - Trim (ANS)</vt:lpstr>
      <vt:lpstr>Section 3 - Substitute</vt:lpstr>
      <vt:lpstr>Section 3 - Substitute (ANS)</vt:lpstr>
      <vt:lpstr>Section 4 - Value</vt:lpstr>
      <vt:lpstr>Section 4 - Value (ANS)</vt:lpstr>
      <vt:lpstr>Section 5 - Duplicates</vt:lpstr>
      <vt:lpstr>Section 5 - Duplicates (ANS)</vt:lpstr>
      <vt:lpstr>Student Exercises</vt:lpstr>
      <vt:lpstr>Student Exercise Answers</vt:lpstr>
      <vt:lpstr>Data Set</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Windows User</cp:lastModifiedBy>
  <cp:lastPrinted>2016-09-09T02:15:25Z</cp:lastPrinted>
  <dcterms:created xsi:type="dcterms:W3CDTF">2016-06-22T22:01:00Z</dcterms:created>
  <dcterms:modified xsi:type="dcterms:W3CDTF">2018-07-04T19:18:08Z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