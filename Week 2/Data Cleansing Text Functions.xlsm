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S\Downloads\Problem Solving with Excel\Week 2\"/>
    </mc:Choice>
  </mc:AlternateContent>
  <bookViews>
    <workbookView xWindow="0" yWindow="0" windowWidth="24000" windowHeight="9735" tabRatio="904" firstSheet="4" activeTab="8"/>
  </bookViews>
  <sheets>
    <sheet name="Introduction" sheetId="1" r:id="rId1"/>
    <sheet name="Table of contents" sheetId="2" r:id="rId2"/>
    <sheet name="Section 1 - Right, Left" sheetId="3" r:id="rId3"/>
    <sheet name="Section 1 - Right, Left (ANS)" sheetId="25" state="hidden" r:id="rId4"/>
    <sheet name="Section 2 - Find, Len, Mid" sheetId="22" r:id="rId5"/>
    <sheet name="Section 2 - Find, Len, Mid(ANS)" sheetId="26" state="hidden" r:id="rId6"/>
    <sheet name="Section 3 - Prop, Con" sheetId="21" r:id="rId7"/>
    <sheet name="Section 3 - Prop, Con (ANS)" sheetId="27" state="hidden" r:id="rId8"/>
    <sheet name="Section 4 - Valid" sheetId="24" r:id="rId9"/>
    <sheet name="Section 4 - Valid ANS" sheetId="23" state="hidden" r:id="rId10"/>
  </sheets>
  <definedNames>
    <definedName name="products" localSheetId="8">'Section 4 - Valid'!$K$56:$K$59</definedName>
    <definedName name="products">'Section 4 - Valid ANS'!$K$59:$K$62</definedName>
    <definedName name="saleschannel" localSheetId="8">'Section 4 - Valid'!$L$56:$L$57</definedName>
    <definedName name="saleschannel">'Section 4 - Valid ANS'!$L$59:$L$60</definedName>
    <definedName name="salesmen" localSheetId="8">'Section 4 - Valid'!$I$56:$I$63</definedName>
    <definedName name="salesmen">'Section 4 - Valid ANS'!$I$59:$I$66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21" l="1"/>
  <c r="F34" i="21" s="1"/>
  <c r="E34" i="21"/>
  <c r="D35" i="21"/>
  <c r="F35" i="21" s="1"/>
  <c r="E35" i="21"/>
  <c r="D36" i="21"/>
  <c r="E36" i="21"/>
  <c r="F36" i="21" s="1"/>
  <c r="D37" i="21"/>
  <c r="E37" i="21"/>
  <c r="F37" i="21"/>
  <c r="D38" i="21"/>
  <c r="F38" i="21" s="1"/>
  <c r="E38" i="21"/>
  <c r="F33" i="21"/>
  <c r="E33" i="21"/>
  <c r="D33" i="21"/>
  <c r="D14" i="21"/>
  <c r="E14" i="21" s="1"/>
  <c r="D15" i="21"/>
  <c r="E15" i="21"/>
  <c r="D16" i="21"/>
  <c r="E16" i="21" s="1"/>
  <c r="D17" i="21"/>
  <c r="E17" i="21"/>
  <c r="D18" i="21"/>
  <c r="E18" i="21" s="1"/>
  <c r="D19" i="21"/>
  <c r="E19" i="21"/>
  <c r="D20" i="21"/>
  <c r="E20" i="21" s="1"/>
  <c r="E13" i="21"/>
  <c r="D13" i="21"/>
  <c r="C54" i="22"/>
  <c r="D54" i="22"/>
  <c r="E54" i="22"/>
  <c r="F54" i="22"/>
  <c r="G54" i="22"/>
  <c r="H54" i="22"/>
  <c r="C55" i="22"/>
  <c r="D55" i="22"/>
  <c r="G55" i="22" s="1"/>
  <c r="E55" i="22"/>
  <c r="F55" i="22"/>
  <c r="H55" i="22"/>
  <c r="C56" i="22"/>
  <c r="D56" i="22"/>
  <c r="G56" i="22" s="1"/>
  <c r="E56" i="22"/>
  <c r="F56" i="22"/>
  <c r="H56" i="22"/>
  <c r="C57" i="22"/>
  <c r="D57" i="22"/>
  <c r="G57" i="22" s="1"/>
  <c r="E57" i="22"/>
  <c r="F57" i="22"/>
  <c r="H57" i="22"/>
  <c r="C58" i="22"/>
  <c r="D58" i="22"/>
  <c r="G58" i="22" s="1"/>
  <c r="E58" i="22"/>
  <c r="F58" i="22"/>
  <c r="H58" i="22"/>
  <c r="C59" i="22"/>
  <c r="D59" i="22"/>
  <c r="G59" i="22" s="1"/>
  <c r="E59" i="22"/>
  <c r="F59" i="22"/>
  <c r="H59" i="22"/>
  <c r="H53" i="22"/>
  <c r="G53" i="22"/>
  <c r="F53" i="22"/>
  <c r="E53" i="22"/>
  <c r="D53" i="22"/>
  <c r="C53" i="22"/>
  <c r="D34" i="22"/>
  <c r="E34" i="22"/>
  <c r="F34" i="22"/>
  <c r="D35" i="22"/>
  <c r="E35" i="22" s="1"/>
  <c r="F35" i="22"/>
  <c r="D36" i="22"/>
  <c r="E36" i="22"/>
  <c r="F36" i="22"/>
  <c r="D37" i="22"/>
  <c r="E37" i="22" s="1"/>
  <c r="F37" i="22"/>
  <c r="D38" i="22"/>
  <c r="E38" i="22"/>
  <c r="F38" i="22"/>
  <c r="D39" i="22"/>
  <c r="E39" i="22" s="1"/>
  <c r="F39" i="22"/>
  <c r="D40" i="22"/>
  <c r="E40" i="22"/>
  <c r="F40" i="22"/>
  <c r="F33" i="22"/>
  <c r="E33" i="22"/>
  <c r="D33" i="22"/>
  <c r="C34" i="22"/>
  <c r="C35" i="22"/>
  <c r="C36" i="22"/>
  <c r="C37" i="22"/>
  <c r="C38" i="22"/>
  <c r="C39" i="22"/>
  <c r="C40" i="22"/>
  <c r="C33" i="22"/>
  <c r="D14" i="22"/>
  <c r="D15" i="22"/>
  <c r="D16" i="22"/>
  <c r="D17" i="22"/>
  <c r="D18" i="22"/>
  <c r="D19" i="22"/>
  <c r="D20" i="22"/>
  <c r="D13" i="22"/>
  <c r="C14" i="22"/>
  <c r="C15" i="22"/>
  <c r="C16" i="22"/>
  <c r="C17" i="22"/>
  <c r="C18" i="22"/>
  <c r="C19" i="22"/>
  <c r="C20" i="22"/>
  <c r="C13" i="22"/>
  <c r="C35" i="3"/>
  <c r="C36" i="3"/>
  <c r="C37" i="3"/>
  <c r="C38" i="3"/>
  <c r="C39" i="3"/>
  <c r="C40" i="3"/>
  <c r="C41" i="3"/>
  <c r="C34" i="3"/>
  <c r="C14" i="3"/>
  <c r="C15" i="3"/>
  <c r="C16" i="3"/>
  <c r="C17" i="3"/>
  <c r="C18" i="3"/>
  <c r="C19" i="3"/>
  <c r="C20" i="3"/>
  <c r="C13" i="3"/>
  <c r="D34" i="27" l="1"/>
  <c r="E34" i="27"/>
  <c r="D35" i="27"/>
  <c r="F35" i="27" s="1"/>
  <c r="E35" i="27"/>
  <c r="D36" i="27"/>
  <c r="E36" i="27"/>
  <c r="D37" i="27"/>
  <c r="F37" i="27" s="1"/>
  <c r="E37" i="27"/>
  <c r="D38" i="27"/>
  <c r="E38" i="27"/>
  <c r="E33" i="27"/>
  <c r="D33" i="27"/>
  <c r="D14" i="27"/>
  <c r="E14" i="27" s="1"/>
  <c r="D15" i="27"/>
  <c r="E15" i="27" s="1"/>
  <c r="D16" i="27"/>
  <c r="E16" i="27" s="1"/>
  <c r="D17" i="27"/>
  <c r="E17" i="27" s="1"/>
  <c r="D18" i="27"/>
  <c r="E18" i="27" s="1"/>
  <c r="D19" i="27"/>
  <c r="E19" i="27" s="1"/>
  <c r="D20" i="27"/>
  <c r="E20" i="27" s="1"/>
  <c r="D13" i="27"/>
  <c r="E13" i="27" s="1"/>
  <c r="A3" i="27"/>
  <c r="A2" i="27"/>
  <c r="A1" i="27"/>
  <c r="C54" i="26"/>
  <c r="F54" i="26" s="1"/>
  <c r="D54" i="26"/>
  <c r="G54" i="26" s="1"/>
  <c r="E54" i="26"/>
  <c r="H54" i="26" s="1"/>
  <c r="C55" i="26"/>
  <c r="D55" i="26"/>
  <c r="G55" i="26" s="1"/>
  <c r="E55" i="26"/>
  <c r="H55" i="26" s="1"/>
  <c r="F55" i="26"/>
  <c r="C56" i="26"/>
  <c r="F56" i="26" s="1"/>
  <c r="D56" i="26"/>
  <c r="G56" i="26" s="1"/>
  <c r="E56" i="26"/>
  <c r="H56" i="26" s="1"/>
  <c r="C57" i="26"/>
  <c r="D57" i="26"/>
  <c r="G57" i="26" s="1"/>
  <c r="E57" i="26"/>
  <c r="H57" i="26" s="1"/>
  <c r="F57" i="26"/>
  <c r="C58" i="26"/>
  <c r="F58" i="26" s="1"/>
  <c r="D58" i="26"/>
  <c r="G58" i="26" s="1"/>
  <c r="E58" i="26"/>
  <c r="H58" i="26" s="1"/>
  <c r="C59" i="26"/>
  <c r="D59" i="26"/>
  <c r="G59" i="26" s="1"/>
  <c r="E59" i="26"/>
  <c r="H59" i="26" s="1"/>
  <c r="F59" i="26"/>
  <c r="E53" i="26"/>
  <c r="H53" i="26" s="1"/>
  <c r="D53" i="26"/>
  <c r="G53" i="26" s="1"/>
  <c r="C53" i="26"/>
  <c r="F53" i="26" s="1"/>
  <c r="F34" i="26"/>
  <c r="F35" i="26"/>
  <c r="F36" i="26"/>
  <c r="F37" i="26"/>
  <c r="F38" i="26"/>
  <c r="F39" i="26"/>
  <c r="F40" i="26"/>
  <c r="F33" i="26"/>
  <c r="D34" i="26"/>
  <c r="D35" i="26"/>
  <c r="D36" i="26"/>
  <c r="D37" i="26"/>
  <c r="D38" i="26"/>
  <c r="D39" i="26"/>
  <c r="D40" i="26"/>
  <c r="D33" i="26"/>
  <c r="C34" i="26"/>
  <c r="C35" i="26"/>
  <c r="C36" i="26"/>
  <c r="C37" i="26"/>
  <c r="C38" i="26"/>
  <c r="C39" i="26"/>
  <c r="C40" i="26"/>
  <c r="C33" i="26"/>
  <c r="C20" i="26"/>
  <c r="D20" i="26" s="1"/>
  <c r="C19" i="26"/>
  <c r="D19" i="26" s="1"/>
  <c r="C18" i="26"/>
  <c r="D18" i="26" s="1"/>
  <c r="C17" i="26"/>
  <c r="D17" i="26" s="1"/>
  <c r="C16" i="26"/>
  <c r="D16" i="26" s="1"/>
  <c r="C15" i="26"/>
  <c r="D15" i="26" s="1"/>
  <c r="C14" i="26"/>
  <c r="D14" i="26" s="1"/>
  <c r="C13" i="26"/>
  <c r="D13" i="26" s="1"/>
  <c r="A3" i="26"/>
  <c r="A2" i="26"/>
  <c r="A1" i="26"/>
  <c r="C35" i="25"/>
  <c r="C36" i="25"/>
  <c r="C37" i="25"/>
  <c r="C38" i="25"/>
  <c r="C39" i="25"/>
  <c r="C40" i="25"/>
  <c r="C41" i="25"/>
  <c r="C34" i="25"/>
  <c r="C14" i="25"/>
  <c r="C15" i="25"/>
  <c r="C16" i="25"/>
  <c r="C17" i="25"/>
  <c r="C18" i="25"/>
  <c r="C19" i="25"/>
  <c r="C20" i="25"/>
  <c r="C13" i="25"/>
  <c r="A3" i="25"/>
  <c r="A2" i="25"/>
  <c r="A1" i="25"/>
  <c r="E40" i="26" l="1"/>
  <c r="E38" i="26"/>
  <c r="E34" i="26"/>
  <c r="F33" i="27"/>
  <c r="E33" i="26"/>
  <c r="E37" i="26"/>
  <c r="E36" i="26"/>
  <c r="E39" i="26"/>
  <c r="E35" i="26"/>
  <c r="F38" i="27"/>
  <c r="F36" i="27"/>
  <c r="F34" i="27"/>
  <c r="C14" i="23" l="1"/>
  <c r="C13" i="23"/>
  <c r="F23" i="24"/>
  <c r="C23" i="24"/>
  <c r="F22" i="24"/>
  <c r="C22" i="24"/>
  <c r="F21" i="24"/>
  <c r="C21" i="24"/>
  <c r="F20" i="24"/>
  <c r="C20" i="24"/>
  <c r="F19" i="24"/>
  <c r="C19" i="24"/>
  <c r="F18" i="24"/>
  <c r="C18" i="24"/>
  <c r="F17" i="24"/>
  <c r="C17" i="24"/>
  <c r="F16" i="24"/>
  <c r="C16" i="24"/>
  <c r="F15" i="24"/>
  <c r="C15" i="24"/>
  <c r="F14" i="24"/>
  <c r="C14" i="24"/>
  <c r="F13" i="24"/>
  <c r="C13" i="24"/>
  <c r="A3" i="24"/>
  <c r="A2" i="24"/>
  <c r="A1" i="24"/>
  <c r="F23" i="23"/>
  <c r="C23" i="23"/>
  <c r="F22" i="23"/>
  <c r="C22" i="23"/>
  <c r="F21" i="23"/>
  <c r="C21" i="23"/>
  <c r="F20" i="23"/>
  <c r="C20" i="23"/>
  <c r="F19" i="23"/>
  <c r="C19" i="23"/>
  <c r="F18" i="23"/>
  <c r="C18" i="23"/>
  <c r="F17" i="23"/>
  <c r="C17" i="23"/>
  <c r="F16" i="23"/>
  <c r="C16" i="23"/>
  <c r="F15" i="23"/>
  <c r="C15" i="23"/>
  <c r="F14" i="23"/>
  <c r="F13" i="23"/>
  <c r="A3" i="23"/>
  <c r="A2" i="23"/>
  <c r="A1" i="23"/>
  <c r="A3" i="22"/>
  <c r="A2" i="22"/>
  <c r="A1" i="22"/>
  <c r="A3" i="21"/>
  <c r="A2" i="21"/>
  <c r="A1" i="21"/>
  <c r="A3" i="3"/>
  <c r="A2" i="3"/>
  <c r="A1" i="3"/>
  <c r="A3" i="2"/>
  <c r="A2" i="2"/>
  <c r="A1" i="2"/>
</calcChain>
</file>

<file path=xl/sharedStrings.xml><?xml version="1.0" encoding="utf-8"?>
<sst xmlns="http://schemas.openxmlformats.org/spreadsheetml/2006/main" count="452" uniqueCount="150">
  <si>
    <t>Summary</t>
  </si>
  <si>
    <t>Section</t>
  </si>
  <si>
    <t>Description</t>
  </si>
  <si>
    <t>Contained in Workbook</t>
  </si>
  <si>
    <t>Name of External Referenced File</t>
  </si>
  <si>
    <t>Y</t>
  </si>
  <si>
    <t>Product IDs</t>
  </si>
  <si>
    <t>AJ-0269</t>
  </si>
  <si>
    <t>JN-2525</t>
  </si>
  <si>
    <t>VR-5512</t>
  </si>
  <si>
    <t>NR-7470</t>
  </si>
  <si>
    <t>RC-9018</t>
  </si>
  <si>
    <t>MJ-9506</t>
  </si>
  <si>
    <t>AO-2706</t>
  </si>
  <si>
    <t>NB-5160</t>
  </si>
  <si>
    <t>The new set of ID's has a variable structure but the sections of the ID are separated by a '-'. Use the find function to get the 'AA x' sections of the product IDs.</t>
  </si>
  <si>
    <t>ZT-9748</t>
  </si>
  <si>
    <t>VY-2057</t>
  </si>
  <si>
    <t>VTYQ-2216</t>
  </si>
  <si>
    <t>YPX-3820</t>
  </si>
  <si>
    <t>X-9429</t>
  </si>
  <si>
    <t>LTXT-3616</t>
  </si>
  <si>
    <t>KWU-9965</t>
  </si>
  <si>
    <t>NZX-0610</t>
  </si>
  <si>
    <t>Find('-')</t>
  </si>
  <si>
    <t>Length</t>
  </si>
  <si>
    <t>The new set of ID's has a variable structure but the sections of the ID are separated by a '-'. Use the find function to get the 'BBBB x' sections of the product IDs.</t>
  </si>
  <si>
    <t>Phone Numbers</t>
  </si>
  <si>
    <t>(834)133-1776</t>
  </si>
  <si>
    <t>(623)560-7830</t>
  </si>
  <si>
    <t>(220)249-2610</t>
  </si>
  <si>
    <t>(444)698-6184</t>
  </si>
  <si>
    <t>(639)771-1953</t>
  </si>
  <si>
    <t>(761)431-5462</t>
  </si>
  <si>
    <t>(326)681-5891</t>
  </si>
  <si>
    <t>Find(')')</t>
  </si>
  <si>
    <t>Area Code</t>
  </si>
  <si>
    <t>Phone Number Section 1</t>
  </si>
  <si>
    <t>Phone Number Section 2</t>
  </si>
  <si>
    <t>Use the Find, length and right, left, and mid functions to separate the numbers.</t>
  </si>
  <si>
    <t>Find("(")</t>
  </si>
  <si>
    <t>CASTANHAL</t>
  </si>
  <si>
    <t>MANAUS</t>
  </si>
  <si>
    <t>BELÉM</t>
  </si>
  <si>
    <t>FORTALEZA</t>
  </si>
  <si>
    <t>MARANGUAPE</t>
  </si>
  <si>
    <t>JOÃO PESSOA</t>
  </si>
  <si>
    <t>CAMPINA GRANDE</t>
  </si>
  <si>
    <t>NATAL</t>
  </si>
  <si>
    <t>Cities</t>
  </si>
  <si>
    <t>Proper</t>
  </si>
  <si>
    <t>First Name</t>
  </si>
  <si>
    <t>Last Name</t>
  </si>
  <si>
    <t>ERIC</t>
  </si>
  <si>
    <t>JOHNSON</t>
  </si>
  <si>
    <t>JOHN</t>
  </si>
  <si>
    <t>SMITH</t>
  </si>
  <si>
    <t>BETH</t>
  </si>
  <si>
    <t>SUMMERS</t>
  </si>
  <si>
    <t>MILES</t>
  </si>
  <si>
    <t>PETERSON</t>
  </si>
  <si>
    <t>JENNA</t>
  </si>
  <si>
    <t>STONE</t>
  </si>
  <si>
    <t>QUINN</t>
  </si>
  <si>
    <t>COOK</t>
  </si>
  <si>
    <t>Full Name</t>
  </si>
  <si>
    <t xml:space="preserve">Reformat the names into the proper case. Also, concatenate the names into their full names. </t>
  </si>
  <si>
    <t>Date Sold</t>
  </si>
  <si>
    <t>Month Sold</t>
  </si>
  <si>
    <t>Quantity</t>
  </si>
  <si>
    <t>Unit Price</t>
  </si>
  <si>
    <t>Revenue</t>
  </si>
  <si>
    <t>&lt;Date&gt;</t>
  </si>
  <si>
    <t>&lt;Whole Number&gt;</t>
  </si>
  <si>
    <t>&lt;Decimal&gt;</t>
  </si>
  <si>
    <t xml:space="preserve">Use data validation to prevent sales entry errors. </t>
  </si>
  <si>
    <t>Distributor Name</t>
  </si>
  <si>
    <t xml:space="preserve">Product </t>
  </si>
  <si>
    <t>Sales Channel</t>
  </si>
  <si>
    <t>Devin Abbott</t>
  </si>
  <si>
    <t>SUPA105</t>
  </si>
  <si>
    <t>Super Soft Bulk - 2 Litres</t>
  </si>
  <si>
    <t>Online</t>
  </si>
  <si>
    <t>Aphrodite Brennan</t>
  </si>
  <si>
    <t>Direct</t>
  </si>
  <si>
    <t>Guinevere Key</t>
  </si>
  <si>
    <t>Retail</t>
  </si>
  <si>
    <t>Zahir Fields</t>
  </si>
  <si>
    <t>Deacon Craig</t>
  </si>
  <si>
    <t>Brynne Mcgowan</t>
  </si>
  <si>
    <t>Lani Sweet</t>
  </si>
  <si>
    <t>Noble Warner</t>
  </si>
  <si>
    <t>SUPA104</t>
  </si>
  <si>
    <t>Super Soft - 1 Litre</t>
  </si>
  <si>
    <t>DETA800</t>
  </si>
  <si>
    <t>Detafast Stain Remover - 800ml</t>
  </si>
  <si>
    <t>PURA250</t>
  </si>
  <si>
    <t>Pure Soft Detergent - 250ml</t>
  </si>
  <si>
    <t>one hundred ninety nine</t>
  </si>
  <si>
    <t>seventy five</t>
  </si>
  <si>
    <t>Friday Jul 1</t>
  </si>
  <si>
    <t>Jul14</t>
  </si>
  <si>
    <t>15-Jun</t>
  </si>
  <si>
    <t>15-5-2016</t>
  </si>
  <si>
    <t>16-02</t>
  </si>
  <si>
    <t>Tuesday, 14-May</t>
  </si>
  <si>
    <t>&lt;List&gt;</t>
  </si>
  <si>
    <t>&lt;Decimal</t>
  </si>
  <si>
    <t>Salesmen</t>
  </si>
  <si>
    <t>Products</t>
  </si>
  <si>
    <t xml:space="preserve">Now sales need to be recorded. There are 5 products sold by 8 salesmen. However, you can see they enter in data very differently from salesman to salesman. </t>
  </si>
  <si>
    <t>Data Validation prevents or limits the possible entries into Excel. Below is a completed form and needs to be maintained. Use Data Validation to keep data consistent. Recreate the form below using data validation.</t>
  </si>
  <si>
    <t xml:space="preserve">The structure of the ID's is AA-BBBB. Use the 'Right' formula to extract the 'BBBB' sections. </t>
  </si>
  <si>
    <t xml:space="preserve">The structure of the ID's is AA-BBBB. Use the 'Left' formula to extract the 'AA' sections. </t>
  </si>
  <si>
    <t>Data is the heart of data analysis and excel. However, humans are extremely variable. As such, human-entry data is very variable, which causes issues all the time. How do we solve for that?</t>
  </si>
  <si>
    <t>Combined Formula</t>
  </si>
  <si>
    <t>NA</t>
  </si>
  <si>
    <t>Problem 2B - Student Lead</t>
  </si>
  <si>
    <t>Find, Len, and Mid</t>
  </si>
  <si>
    <t>Proper and Concatenate</t>
  </si>
  <si>
    <t>Problem 1A - Instructor Lead</t>
  </si>
  <si>
    <t>Problem 1B - Student Lead</t>
  </si>
  <si>
    <t>Right and Left</t>
  </si>
  <si>
    <t>Data Validation</t>
  </si>
  <si>
    <t>Problem 2A - Instructor Lead</t>
  </si>
  <si>
    <t>Problem 1B -Student Lead</t>
  </si>
  <si>
    <t>Brazil</t>
  </si>
  <si>
    <t>South Africa</t>
  </si>
  <si>
    <t>Ceará</t>
  </si>
  <si>
    <t>Country</t>
  </si>
  <si>
    <t>Concatenate</t>
  </si>
  <si>
    <t>Now there are list of clients. The database however stored them all in uppercase. Your clients wants you fix the formatting before sending bills to them.</t>
  </si>
  <si>
    <t>You've been given a list of product IDs. Your client would like you to extract the left section of the IDs.</t>
  </si>
  <si>
    <t>You've been given a list of product IDs. Your client would like you to extract the right section of the IDs.</t>
  </si>
  <si>
    <t>Now there are other ID's that have variable lengths. You did so well with the first set of ID's your client wants you to do more.</t>
  </si>
  <si>
    <t>Now your client gives you a set of phone numbers. The phone numbers are standardized but need to be separated into area codes and phone numbers [(XXX)XXX-XXXX]</t>
  </si>
  <si>
    <t>Now you've been given a long list of cities. However, the cities are in all capital letters. Your client would like properly formatted text.</t>
  </si>
  <si>
    <t>YPX-382</t>
  </si>
  <si>
    <t>X-29</t>
  </si>
  <si>
    <t>ZT-97486</t>
  </si>
  <si>
    <t>LTXT-36166</t>
  </si>
  <si>
    <t>KWU-99</t>
  </si>
  <si>
    <t>VY-205</t>
  </si>
  <si>
    <t>NZX-061</t>
  </si>
  <si>
    <t>Product ID Extracts</t>
  </si>
  <si>
    <t>Product ID Extract</t>
  </si>
  <si>
    <t>With these cities, use the Proper function to transform the city names. Also concatenate the city and the corresponding country using the "City, Country" convention</t>
  </si>
  <si>
    <t xml:space="preserve">Problem Solving with Excel </t>
  </si>
  <si>
    <t>Data Cleansing - Text Functions</t>
  </si>
  <si>
    <t>Week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</si>
</sst>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_);@_)"/>
    <numFmt numFmtId="169" formatCode="0%_);\(0%\)"/>
    <numFmt numFmtId="170" formatCode="_(&quot;$&quot;* #,##0_);_(&quot;$&quot;* \(#,##0\);_(&quot;$&quot;* &quot;-&quot;??_);_(@_)"/>
  </numFmts>
  <fonts count="53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Calibri"/>
      <family val="2"/>
      <scheme val="minor"/>
    </font>
    <font>
      <b/>
      <sz val="10"/>
      <color theme="6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Arial"/>
      <family val="2"/>
    </font>
    <font>
      <b/>
      <sz val="12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color rgb="FFFFFFFF"/>
      <name val="Arial"/>
      <family val="2"/>
    </font>
    <font>
      <sz val="10"/>
      <color rgb="FF602320"/>
      <name val="Arial"/>
      <family val="2"/>
    </font>
    <font>
      <sz val="10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2"/>
      <color rgb="FFFFFFFF"/>
      <name val="Arial"/>
      <family val="2"/>
    </font>
    <font>
      <sz val="12"/>
      <name val="Arial"/>
      <family val="2"/>
    </font>
    <font>
      <sz val="12"/>
      <color theme="1"/>
      <name val="Calibri"/>
      <family val="2"/>
      <scheme val="minor"/>
    </font>
    <font>
      <sz val="12"/>
      <color rgb="FF602320"/>
      <name val="Arial"/>
      <family val="2"/>
    </font>
    <font>
      <b/>
      <sz val="12"/>
      <color rgb="FFFFFFFF"/>
      <name val="Century Gothic"/>
      <family val="2"/>
    </font>
    <font>
      <sz val="12"/>
      <color theme="1"/>
      <name val="Century Gothic"/>
      <family val="2"/>
    </font>
    <font>
      <sz val="12"/>
      <color rgb="FF602320"/>
      <name val="Century Gothic"/>
      <family val="2"/>
    </font>
    <font>
      <sz val="12"/>
      <name val="Century Gothic"/>
      <family val="2"/>
    </font>
    <font>
      <b/>
      <sz val="10"/>
      <color theme="0"/>
      <name val="Century Gothic"/>
      <family val="2"/>
    </font>
    <font>
      <sz val="10"/>
      <name val="Century Gothic"/>
      <family val="2"/>
    </font>
    <font>
      <sz val="10"/>
      <color theme="3"/>
      <name val="Century Gothic"/>
      <family val="2"/>
    </font>
    <font>
      <b/>
      <sz val="11"/>
      <color theme="0"/>
      <name val="Century Gothic"/>
      <family val="2"/>
    </font>
    <font>
      <sz val="11"/>
      <name val="Century Gothic"/>
      <family val="2"/>
    </font>
    <font>
      <sz val="11"/>
      <color theme="3"/>
      <name val="Century Gothic"/>
      <family val="2"/>
    </font>
    <font>
      <sz val="9"/>
      <color theme="1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60232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/>
      <bottom style="thin">
        <color rgb="FF602320"/>
      </bottom>
      <diagonal/>
    </border>
  </borders>
  <cellStyleXfs count="36">
    <xf numFmtId="168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8" fontId="16" fillId="0" borderId="0" applyNumberFormat="0" applyFill="0" applyBorder="0" applyAlignment="0" applyProtection="0"/>
    <xf numFmtId="168" fontId="6" fillId="9" borderId="0" applyNumberFormat="0" applyFont="0" applyBorder="0" applyAlignment="0" applyProtection="0"/>
    <xf numFmtId="0" fontId="6" fillId="0" borderId="0" applyFill="0" applyBorder="0" applyProtection="0"/>
    <xf numFmtId="168" fontId="6" fillId="10" borderId="0" applyNumberFormat="0" applyFont="0" applyBorder="0" applyAlignment="0" applyProtection="0"/>
    <xf numFmtId="169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8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166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2" fillId="0" borderId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</cellStyleXfs>
  <cellXfs count="76">
    <xf numFmtId="168" fontId="0" fillId="0" borderId="0" xfId="0"/>
    <xf numFmtId="168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8" fontId="26" fillId="12" borderId="0" xfId="0" applyFont="1" applyFill="1" applyAlignment="1">
      <alignment vertical="top"/>
    </xf>
    <xf numFmtId="168" fontId="27" fillId="12" borderId="0" xfId="0" applyFont="1" applyFill="1"/>
    <xf numFmtId="0" fontId="28" fillId="0" borderId="0" xfId="30" applyFont="1" applyFill="1" applyBorder="1" applyAlignment="1">
      <alignment horizontal="center" vertical="center" wrapText="1"/>
    </xf>
    <xf numFmtId="0" fontId="25" fillId="13" borderId="0" xfId="0" applyNumberFormat="1" applyFont="1" applyFill="1" applyBorder="1" applyAlignment="1">
      <alignment horizontal="left" wrapText="1"/>
    </xf>
    <xf numFmtId="0" fontId="25" fillId="13" borderId="0" xfId="0" applyNumberFormat="1" applyFont="1" applyFill="1" applyBorder="1" applyAlignment="1">
      <alignment wrapText="1"/>
    </xf>
    <xf numFmtId="3" fontId="25" fillId="13" borderId="0" xfId="0" applyNumberFormat="1" applyFont="1" applyFill="1" applyBorder="1" applyAlignment="1">
      <alignment wrapText="1"/>
    </xf>
    <xf numFmtId="0" fontId="25" fillId="13" borderId="0" xfId="31" applyNumberFormat="1" applyFont="1" applyFill="1" applyBorder="1" applyAlignment="1">
      <alignment wrapText="1"/>
    </xf>
    <xf numFmtId="14" fontId="29" fillId="0" borderId="12" xfId="0" applyNumberFormat="1" applyFont="1" applyBorder="1" applyAlignment="1">
      <alignment horizontal="left"/>
    </xf>
    <xf numFmtId="1" fontId="29" fillId="0" borderId="12" xfId="0" applyNumberFormat="1" applyFont="1" applyBorder="1" applyAlignment="1">
      <alignment horizontal="center"/>
    </xf>
    <xf numFmtId="3" fontId="29" fillId="0" borderId="12" xfId="0" applyNumberFormat="1" applyFont="1" applyBorder="1"/>
    <xf numFmtId="165" fontId="29" fillId="0" borderId="12" xfId="31" applyNumberFormat="1" applyFont="1" applyBorder="1" applyAlignment="1">
      <alignment horizontal="right"/>
    </xf>
    <xf numFmtId="170" fontId="22" fillId="0" borderId="12" xfId="0" applyNumberFormat="1" applyFont="1" applyFill="1" applyBorder="1" applyAlignment="1">
      <alignment horizontal="right"/>
    </xf>
    <xf numFmtId="0" fontId="25" fillId="13" borderId="12" xfId="0" applyNumberFormat="1" applyFont="1" applyFill="1" applyBorder="1" applyAlignment="1">
      <alignment horizontal="left" wrapText="1"/>
    </xf>
    <xf numFmtId="0" fontId="29" fillId="0" borderId="12" xfId="0" applyNumberFormat="1" applyFont="1" applyBorder="1" applyAlignment="1">
      <alignment horizontal="left"/>
    </xf>
    <xf numFmtId="0" fontId="29" fillId="0" borderId="12" xfId="0" applyNumberFormat="1" applyFont="1" applyFill="1" applyBorder="1" applyAlignment="1">
      <alignment horizontal="left"/>
    </xf>
    <xf numFmtId="0" fontId="29" fillId="0" borderId="13" xfId="0" applyNumberFormat="1" applyFont="1" applyBorder="1" applyAlignment="1">
      <alignment horizontal="left"/>
    </xf>
    <xf numFmtId="0" fontId="29" fillId="12" borderId="12" xfId="0" applyNumberFormat="1" applyFont="1" applyFill="1" applyBorder="1" applyAlignment="1">
      <alignment horizontal="left"/>
    </xf>
    <xf numFmtId="14" fontId="29" fillId="0" borderId="12" xfId="0" quotePrefix="1" applyNumberFormat="1" applyFont="1" applyBorder="1" applyAlignment="1">
      <alignment horizontal="left"/>
    </xf>
    <xf numFmtId="164" fontId="22" fillId="0" borderId="12" xfId="0" applyNumberFormat="1" applyFont="1" applyFill="1" applyBorder="1" applyAlignment="1">
      <alignment horizontal="right"/>
    </xf>
    <xf numFmtId="168" fontId="30" fillId="0" borderId="0" xfId="0" applyFont="1"/>
    <xf numFmtId="49" fontId="16" fillId="0" borderId="6" xfId="3" applyFont="1">
      <alignment horizontal="right" wrapText="1"/>
    </xf>
    <xf numFmtId="167" fontId="31" fillId="0" borderId="15" xfId="32" applyFont="1" applyBorder="1" applyAlignment="1">
      <alignment horizontal="left"/>
    </xf>
    <xf numFmtId="167" fontId="31" fillId="0" borderId="15" xfId="32" applyFont="1" applyBorder="1" applyAlignment="1">
      <alignment horizontal="center"/>
    </xf>
    <xf numFmtId="0" fontId="16" fillId="11" borderId="14" xfId="3" applyNumberFormat="1" applyFont="1" applyFill="1" applyBorder="1" applyAlignment="1">
      <alignment horizontal="center" wrapText="1"/>
    </xf>
    <xf numFmtId="0" fontId="16" fillId="11" borderId="15" xfId="3" applyNumberFormat="1" applyFont="1" applyFill="1" applyBorder="1" applyAlignment="1">
      <alignment horizontal="center" wrapText="1"/>
    </xf>
    <xf numFmtId="49" fontId="16" fillId="0" borderId="6" xfId="3" applyFont="1" applyAlignment="1">
      <alignment horizontal="center" wrapText="1"/>
    </xf>
    <xf numFmtId="168" fontId="33" fillId="14" borderId="16" xfId="0" applyNumberFormat="1" applyFont="1" applyFill="1" applyBorder="1" applyAlignment="1">
      <alignment horizontal="left" vertical="top"/>
    </xf>
    <xf numFmtId="168" fontId="35" fillId="0" borderId="11" xfId="0" applyFont="1" applyBorder="1" applyAlignment="1">
      <alignment vertical="center"/>
    </xf>
    <xf numFmtId="0" fontId="34" fillId="15" borderId="0" xfId="31" applyNumberFormat="1" applyFont="1" applyFill="1" applyBorder="1" applyAlignment="1">
      <alignment horizontal="right" vertical="top"/>
    </xf>
    <xf numFmtId="0" fontId="22" fillId="0" borderId="0" xfId="30" applyAlignment="1">
      <alignment wrapText="1"/>
    </xf>
    <xf numFmtId="168" fontId="35" fillId="0" borderId="11" xfId="0" applyFont="1" applyBorder="1" applyAlignment="1">
      <alignment horizontal="center" vertical="center"/>
    </xf>
    <xf numFmtId="0" fontId="34" fillId="15" borderId="0" xfId="31" applyNumberFormat="1" applyFont="1" applyFill="1" applyBorder="1" applyAlignment="1">
      <alignment horizontal="center" vertical="center"/>
    </xf>
    <xf numFmtId="168" fontId="38" fillId="14" borderId="16" xfId="0" applyNumberFormat="1" applyFont="1" applyFill="1" applyBorder="1" applyAlignment="1">
      <alignment horizontal="center" vertical="center"/>
    </xf>
    <xf numFmtId="0" fontId="39" fillId="0" borderId="0" xfId="30" applyFont="1" applyAlignment="1">
      <alignment horizontal="center" vertical="center"/>
    </xf>
    <xf numFmtId="168" fontId="40" fillId="0" borderId="11" xfId="0" applyFont="1" applyBorder="1" applyAlignment="1">
      <alignment horizontal="center" vertical="center"/>
    </xf>
    <xf numFmtId="0" fontId="41" fillId="15" borderId="0" xfId="31" applyNumberFormat="1" applyFont="1" applyFill="1" applyBorder="1" applyAlignment="1">
      <alignment horizontal="center" vertical="center"/>
    </xf>
    <xf numFmtId="168" fontId="33" fillId="14" borderId="16" xfId="0" applyNumberFormat="1" applyFont="1" applyFill="1" applyBorder="1" applyAlignment="1">
      <alignment horizontal="center" vertical="center" wrapText="1"/>
    </xf>
    <xf numFmtId="168" fontId="38" fillId="14" borderId="16" xfId="0" applyNumberFormat="1" applyFont="1" applyFill="1" applyBorder="1" applyAlignment="1">
      <alignment horizontal="center" vertical="center" wrapText="1"/>
    </xf>
    <xf numFmtId="0" fontId="39" fillId="0" borderId="0" xfId="30" applyFont="1" applyAlignment="1">
      <alignment horizontal="center" vertical="center" wrapText="1"/>
    </xf>
    <xf numFmtId="168" fontId="42" fillId="14" borderId="16" xfId="0" applyNumberFormat="1" applyFont="1" applyFill="1" applyBorder="1" applyAlignment="1">
      <alignment horizontal="center" vertical="center"/>
    </xf>
    <xf numFmtId="168" fontId="43" fillId="0" borderId="11" xfId="0" applyFont="1" applyBorder="1" applyAlignment="1">
      <alignment horizontal="center" vertical="center"/>
    </xf>
    <xf numFmtId="0" fontId="44" fillId="15" borderId="0" xfId="31" applyNumberFormat="1" applyFont="1" applyFill="1" applyBorder="1" applyAlignment="1">
      <alignment horizontal="center" vertical="center"/>
    </xf>
    <xf numFmtId="0" fontId="45" fillId="0" borderId="0" xfId="30" applyFont="1" applyAlignment="1">
      <alignment horizontal="center" vertical="center"/>
    </xf>
    <xf numFmtId="0" fontId="46" fillId="13" borderId="0" xfId="0" applyNumberFormat="1" applyFont="1" applyFill="1" applyBorder="1" applyAlignment="1">
      <alignment horizontal="center" vertical="center" wrapText="1"/>
    </xf>
    <xf numFmtId="3" fontId="46" fillId="13" borderId="0" xfId="0" applyNumberFormat="1" applyFont="1" applyFill="1" applyBorder="1" applyAlignment="1">
      <alignment horizontal="center" vertical="center" wrapText="1"/>
    </xf>
    <xf numFmtId="0" fontId="46" fillId="13" borderId="0" xfId="31" applyNumberFormat="1" applyFont="1" applyFill="1" applyBorder="1" applyAlignment="1">
      <alignment horizontal="center" vertical="center" wrapText="1"/>
    </xf>
    <xf numFmtId="0" fontId="47" fillId="0" borderId="0" xfId="30" applyFont="1" applyAlignment="1">
      <alignment horizontal="center" vertical="center"/>
    </xf>
    <xf numFmtId="14" fontId="48" fillId="0" borderId="12" xfId="0" applyNumberFormat="1" applyFont="1" applyBorder="1" applyAlignment="1">
      <alignment horizontal="center" vertical="center"/>
    </xf>
    <xf numFmtId="3" fontId="48" fillId="0" borderId="12" xfId="0" applyNumberFormat="1" applyFont="1" applyBorder="1" applyAlignment="1">
      <alignment horizontal="center" vertical="center"/>
    </xf>
    <xf numFmtId="0" fontId="49" fillId="13" borderId="0" xfId="0" applyNumberFormat="1" applyFont="1" applyFill="1" applyBorder="1" applyAlignment="1">
      <alignment horizontal="center" vertical="center" wrapText="1"/>
    </xf>
    <xf numFmtId="3" fontId="49" fillId="13" borderId="0" xfId="0" applyNumberFormat="1" applyFont="1" applyFill="1" applyBorder="1" applyAlignment="1">
      <alignment horizontal="center" vertical="center" wrapText="1"/>
    </xf>
    <xf numFmtId="0" fontId="49" fillId="13" borderId="0" xfId="31" applyNumberFormat="1" applyFont="1" applyFill="1" applyBorder="1" applyAlignment="1">
      <alignment horizontal="center" vertical="center" wrapText="1"/>
    </xf>
    <xf numFmtId="0" fontId="50" fillId="0" borderId="0" xfId="30" applyFont="1" applyAlignment="1">
      <alignment horizontal="center" vertical="center"/>
    </xf>
    <xf numFmtId="14" fontId="51" fillId="0" borderId="12" xfId="0" applyNumberFormat="1" applyFont="1" applyBorder="1" applyAlignment="1">
      <alignment horizontal="center" vertical="center"/>
    </xf>
    <xf numFmtId="1" fontId="51" fillId="0" borderId="12" xfId="0" applyNumberFormat="1" applyFont="1" applyBorder="1" applyAlignment="1">
      <alignment horizontal="center" vertical="center"/>
    </xf>
    <xf numFmtId="3" fontId="51" fillId="0" borderId="12" xfId="0" applyNumberFormat="1" applyFont="1" applyBorder="1" applyAlignment="1">
      <alignment horizontal="center" vertical="center"/>
    </xf>
    <xf numFmtId="165" fontId="51" fillId="0" borderId="12" xfId="31" applyNumberFormat="1" applyFont="1" applyBorder="1" applyAlignment="1">
      <alignment horizontal="center" vertical="center"/>
    </xf>
    <xf numFmtId="170" fontId="50" fillId="0" borderId="12" xfId="0" applyNumberFormat="1" applyFont="1" applyFill="1" applyBorder="1" applyAlignment="1">
      <alignment horizontal="center" vertical="center"/>
    </xf>
    <xf numFmtId="0" fontId="46" fillId="13" borderId="12" xfId="0" applyNumberFormat="1" applyFont="1" applyFill="1" applyBorder="1" applyAlignment="1">
      <alignment horizontal="center" vertical="center" wrapText="1"/>
    </xf>
    <xf numFmtId="0" fontId="48" fillId="0" borderId="12" xfId="0" applyNumberFormat="1" applyFont="1" applyBorder="1" applyAlignment="1">
      <alignment horizontal="center" vertical="center"/>
    </xf>
    <xf numFmtId="164" fontId="47" fillId="0" borderId="12" xfId="0" applyNumberFormat="1" applyFont="1" applyFill="1" applyBorder="1" applyAlignment="1">
      <alignment horizontal="center" vertical="center"/>
    </xf>
    <xf numFmtId="14" fontId="48" fillId="0" borderId="12" xfId="0" quotePrefix="1" applyNumberFormat="1" applyFont="1" applyBorder="1" applyAlignment="1">
      <alignment horizontal="center" vertical="center"/>
    </xf>
    <xf numFmtId="0" fontId="48" fillId="12" borderId="12" xfId="0" applyNumberFormat="1" applyFont="1" applyFill="1" applyBorder="1" applyAlignment="1">
      <alignment horizontal="center" vertical="center"/>
    </xf>
    <xf numFmtId="0" fontId="48" fillId="0" borderId="13" xfId="0" applyNumberFormat="1" applyFont="1" applyBorder="1" applyAlignment="1">
      <alignment horizontal="center" vertical="center"/>
    </xf>
    <xf numFmtId="0" fontId="48" fillId="0" borderId="12" xfId="0" applyNumberFormat="1" applyFont="1" applyFill="1" applyBorder="1" applyAlignment="1">
      <alignment horizontal="center" vertical="center"/>
    </xf>
    <xf numFmtId="168" fontId="52" fillId="0" borderId="0" xfId="0" applyFont="1" applyAlignment="1">
      <alignment horizontal="center" vertical="center"/>
    </xf>
    <xf numFmtId="0" fontId="37" fillId="17" borderId="0" xfId="35" applyAlignment="1">
      <alignment horizontal="center" vertical="center"/>
    </xf>
    <xf numFmtId="0" fontId="37" fillId="16" borderId="12" xfId="34" applyNumberFormat="1" applyBorder="1" applyAlignment="1">
      <alignment horizontal="center" vertical="center" wrapText="1"/>
    </xf>
    <xf numFmtId="0" fontId="37" fillId="16" borderId="0" xfId="34" applyNumberFormat="1" applyBorder="1" applyAlignment="1">
      <alignment horizontal="center" vertical="center" wrapText="1"/>
    </xf>
    <xf numFmtId="3" fontId="37" fillId="16" borderId="0" xfId="34" applyNumberFormat="1" applyBorder="1" applyAlignment="1">
      <alignment horizontal="center" vertical="center" wrapText="1"/>
    </xf>
  </cellXfs>
  <cellStyles count="36">
    <cellStyle name="60% - Accent1" xfId="34" builtinId="32"/>
    <cellStyle name="Accent2" xfId="35" builtinId="33"/>
    <cellStyle name="Bad" xfId="8" builtinId="27" customBuiltin="1"/>
    <cellStyle name="Calculation" xfId="12" builtinId="22" customBuiltin="1"/>
    <cellStyle name="Check Cell" xfId="14" builtinId="23" customBuiltin="1"/>
    <cellStyle name="Comma" xfId="32" builtinId="3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rmal 3" xfId="33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20</xdr:row>
          <xdr:rowOff>95250</xdr:rowOff>
        </xdr:from>
        <xdr:to>
          <xdr:col>2</xdr:col>
          <xdr:colOff>428625</xdr:colOff>
          <xdr:row>23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34</xdr:row>
          <xdr:rowOff>9525</xdr:rowOff>
        </xdr:from>
        <xdr:to>
          <xdr:col>4</xdr:col>
          <xdr:colOff>790575</xdr:colOff>
          <xdr:row>37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12</xdr:row>
          <xdr:rowOff>95250</xdr:rowOff>
        </xdr:from>
        <xdr:to>
          <xdr:col>4</xdr:col>
          <xdr:colOff>838200</xdr:colOff>
          <xdr:row>15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33</xdr:row>
          <xdr:rowOff>104775</xdr:rowOff>
        </xdr:from>
        <xdr:to>
          <xdr:col>4</xdr:col>
          <xdr:colOff>790575</xdr:colOff>
          <xdr:row>36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12</xdr:row>
          <xdr:rowOff>76200</xdr:rowOff>
        </xdr:from>
        <xdr:to>
          <xdr:col>5</xdr:col>
          <xdr:colOff>647700</xdr:colOff>
          <xdr:row>15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32</xdr:row>
          <xdr:rowOff>123825</xdr:rowOff>
        </xdr:from>
        <xdr:to>
          <xdr:col>7</xdr:col>
          <xdr:colOff>466725</xdr:colOff>
          <xdr:row>35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51</xdr:row>
          <xdr:rowOff>247650</xdr:rowOff>
        </xdr:from>
        <xdr:to>
          <xdr:col>11</xdr:col>
          <xdr:colOff>400050</xdr:colOff>
          <xdr:row>54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12</xdr:row>
          <xdr:rowOff>133350</xdr:rowOff>
        </xdr:from>
        <xdr:to>
          <xdr:col>5</xdr:col>
          <xdr:colOff>609600</xdr:colOff>
          <xdr:row>16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33</xdr:row>
          <xdr:rowOff>38100</xdr:rowOff>
        </xdr:from>
        <xdr:to>
          <xdr:col>7</xdr:col>
          <xdr:colOff>676275</xdr:colOff>
          <xdr:row>36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51</xdr:row>
          <xdr:rowOff>180975</xdr:rowOff>
        </xdr:from>
        <xdr:to>
          <xdr:col>11</xdr:col>
          <xdr:colOff>295275</xdr:colOff>
          <xdr:row>54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20</xdr:row>
          <xdr:rowOff>142875</xdr:rowOff>
        </xdr:from>
        <xdr:to>
          <xdr:col>2</xdr:col>
          <xdr:colOff>552450</xdr:colOff>
          <xdr:row>24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32</xdr:row>
          <xdr:rowOff>28575</xdr:rowOff>
        </xdr:from>
        <xdr:to>
          <xdr:col>7</xdr:col>
          <xdr:colOff>523875</xdr:colOff>
          <xdr:row>35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20</xdr:row>
          <xdr:rowOff>76200</xdr:rowOff>
        </xdr:from>
        <xdr:to>
          <xdr:col>2</xdr:col>
          <xdr:colOff>333375</xdr:colOff>
          <xdr:row>23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32</xdr:row>
          <xdr:rowOff>9525</xdr:rowOff>
        </xdr:from>
        <xdr:to>
          <xdr:col>7</xdr:col>
          <xdr:colOff>638175</xdr:colOff>
          <xdr:row>35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25</xdr:row>
          <xdr:rowOff>152400</xdr:rowOff>
        </xdr:from>
        <xdr:to>
          <xdr:col>7</xdr:col>
          <xdr:colOff>485775</xdr:colOff>
          <xdr:row>29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47</xdr:row>
          <xdr:rowOff>57150</xdr:rowOff>
        </xdr:from>
        <xdr:to>
          <xdr:col>10</xdr:col>
          <xdr:colOff>133350</xdr:colOff>
          <xdr:row>50</xdr:row>
          <xdr:rowOff>95250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22</xdr:row>
          <xdr:rowOff>9525</xdr:rowOff>
        </xdr:from>
        <xdr:to>
          <xdr:col>7</xdr:col>
          <xdr:colOff>600075</xdr:colOff>
          <xdr:row>25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49</xdr:row>
          <xdr:rowOff>133350</xdr:rowOff>
        </xdr:from>
        <xdr:to>
          <xdr:col>10</xdr:col>
          <xdr:colOff>133350</xdr:colOff>
          <xdr:row>53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L1" sqref="L1"/>
    </sheetView>
  </sheetViews>
  <sheetFormatPr defaultRowHeight="12" x14ac:dyDescent="0.2"/>
  <sheetData>
    <row r="1" spans="1:1" ht="18.75" x14ac:dyDescent="0.3">
      <c r="A1" s="1" t="s">
        <v>147</v>
      </c>
    </row>
    <row r="2" spans="1:1" ht="18.75" x14ac:dyDescent="0.3">
      <c r="A2" s="1" t="s">
        <v>149</v>
      </c>
    </row>
    <row r="3" spans="1:1" ht="18.75" x14ac:dyDescent="0.3">
      <c r="A3" s="1" t="s">
        <v>148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showGridLines="0" zoomScale="80" workbookViewId="0">
      <selection activeCell="G1" sqref="G1"/>
    </sheetView>
  </sheetViews>
  <sheetFormatPr defaultColWidth="9.33203125" defaultRowHeight="12.75" x14ac:dyDescent="0.2"/>
  <cols>
    <col min="1" max="1" width="9.33203125" style="2"/>
    <col min="2" max="2" width="10.83203125" style="2" bestFit="1" customWidth="1"/>
    <col min="3" max="3" width="34.5" style="2" customWidth="1"/>
    <col min="4" max="4" width="29" style="2" bestFit="1" customWidth="1"/>
    <col min="5" max="5" width="40.83203125" style="2" customWidth="1"/>
    <col min="6" max="16384" width="9.33203125" style="2"/>
  </cols>
  <sheetData>
    <row r="1" spans="1:5" x14ac:dyDescent="0.2">
      <c r="A1" s="3" t="str">
        <f>Introduction!A1</f>
        <v xml:space="preserve">Problem Solving with Excel </v>
      </c>
    </row>
    <row r="2" spans="1:5" x14ac:dyDescent="0.2">
      <c r="A2" s="3" t="str">
        <f>Introduction!A2</f>
        <v>Week 2</v>
      </c>
    </row>
    <row r="3" spans="1:5" x14ac:dyDescent="0.2">
      <c r="A3" s="3" t="str">
        <f>Introduction!A3</f>
        <v>Data Cleansing - Text Functions</v>
      </c>
    </row>
    <row r="4" spans="1:5" x14ac:dyDescent="0.2">
      <c r="A4" s="3" t="s">
        <v>0</v>
      </c>
    </row>
    <row r="7" spans="1:5" ht="13.5" thickBot="1" x14ac:dyDescent="0.25">
      <c r="B7" s="26" t="s">
        <v>1</v>
      </c>
      <c r="C7" s="31" t="s">
        <v>2</v>
      </c>
      <c r="D7" s="26" t="s">
        <v>3</v>
      </c>
      <c r="E7" s="26" t="s">
        <v>4</v>
      </c>
    </row>
    <row r="8" spans="1:5" x14ac:dyDescent="0.2">
      <c r="B8" s="29">
        <v>1</v>
      </c>
      <c r="C8" s="27" t="s">
        <v>122</v>
      </c>
      <c r="D8" s="28" t="s">
        <v>5</v>
      </c>
      <c r="E8" s="28" t="s">
        <v>116</v>
      </c>
    </row>
    <row r="9" spans="1:5" x14ac:dyDescent="0.2">
      <c r="B9" s="30">
        <v>2</v>
      </c>
      <c r="C9" s="27" t="s">
        <v>118</v>
      </c>
      <c r="D9" s="28" t="s">
        <v>5</v>
      </c>
      <c r="E9" s="28" t="s">
        <v>116</v>
      </c>
    </row>
    <row r="10" spans="1:5" x14ac:dyDescent="0.2">
      <c r="B10" s="30">
        <v>3</v>
      </c>
      <c r="C10" s="27" t="s">
        <v>119</v>
      </c>
      <c r="D10" s="28" t="s">
        <v>5</v>
      </c>
      <c r="E10" s="28" t="s">
        <v>116</v>
      </c>
    </row>
    <row r="11" spans="1:5" x14ac:dyDescent="0.2">
      <c r="B11" s="30">
        <v>4</v>
      </c>
      <c r="C11" s="27" t="s">
        <v>123</v>
      </c>
      <c r="D11" s="28" t="s">
        <v>5</v>
      </c>
      <c r="E11" s="28" t="s">
        <v>116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61"/>
  <sheetViews>
    <sheetView showGridLines="0" topLeftCell="A14" zoomScale="80" workbookViewId="0">
      <selection activeCell="C34" sqref="C34:C41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9" width="10.66406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133</v>
      </c>
    </row>
    <row r="10" spans="1:16" outlineLevel="1" x14ac:dyDescent="0.2">
      <c r="B10" s="2" t="s">
        <v>112</v>
      </c>
    </row>
    <row r="11" spans="1:16" outlineLevel="1" x14ac:dyDescent="0.2"/>
    <row r="12" spans="1:16" outlineLevel="1" x14ac:dyDescent="0.2">
      <c r="B12" s="32" t="s">
        <v>6</v>
      </c>
      <c r="C12" s="32" t="s">
        <v>144</v>
      </c>
    </row>
    <row r="13" spans="1:16" outlineLevel="1" x14ac:dyDescent="0.2">
      <c r="B13" s="33" t="s">
        <v>7</v>
      </c>
      <c r="C13" s="34" t="str">
        <f>RIGHT(B13,4)</f>
        <v>0269</v>
      </c>
    </row>
    <row r="14" spans="1:16" outlineLevel="1" x14ac:dyDescent="0.2">
      <c r="B14" s="33" t="s">
        <v>8</v>
      </c>
      <c r="C14" s="34" t="str">
        <f t="shared" ref="C14:C20" si="0">RIGHT(B14,4)</f>
        <v>2525</v>
      </c>
    </row>
    <row r="15" spans="1:16" outlineLevel="1" x14ac:dyDescent="0.2">
      <c r="B15" s="33" t="s">
        <v>9</v>
      </c>
      <c r="C15" s="34" t="str">
        <f t="shared" si="0"/>
        <v>5512</v>
      </c>
    </row>
    <row r="16" spans="1:16" outlineLevel="1" x14ac:dyDescent="0.2">
      <c r="B16" s="33" t="s">
        <v>10</v>
      </c>
      <c r="C16" s="34" t="str">
        <f t="shared" si="0"/>
        <v>7470</v>
      </c>
    </row>
    <row r="17" spans="2:3" outlineLevel="1" x14ac:dyDescent="0.2">
      <c r="B17" s="33" t="s">
        <v>11</v>
      </c>
      <c r="C17" s="34" t="str">
        <f t="shared" si="0"/>
        <v>9018</v>
      </c>
    </row>
    <row r="18" spans="2:3" outlineLevel="1" x14ac:dyDescent="0.2">
      <c r="B18" s="33" t="s">
        <v>12</v>
      </c>
      <c r="C18" s="34" t="str">
        <f t="shared" si="0"/>
        <v>9506</v>
      </c>
    </row>
    <row r="19" spans="2:3" outlineLevel="1" x14ac:dyDescent="0.2">
      <c r="B19" s="33" t="s">
        <v>13</v>
      </c>
      <c r="C19" s="34" t="str">
        <f t="shared" si="0"/>
        <v>2706</v>
      </c>
    </row>
    <row r="20" spans="2:3" outlineLevel="1" x14ac:dyDescent="0.2">
      <c r="B20" s="33" t="s">
        <v>14</v>
      </c>
      <c r="C20" s="34" t="str">
        <f t="shared" si="0"/>
        <v>5160</v>
      </c>
    </row>
    <row r="21" spans="2:3" outlineLevel="1" x14ac:dyDescent="0.2"/>
    <row r="22" spans="2:3" outlineLevel="1" x14ac:dyDescent="0.2">
      <c r="B22"/>
    </row>
    <row r="23" spans="2:3" outlineLevel="1" x14ac:dyDescent="0.2"/>
    <row r="24" spans="2:3" outlineLevel="1" x14ac:dyDescent="0.2"/>
    <row r="25" spans="2:3" outlineLevel="1" x14ac:dyDescent="0.2"/>
    <row r="26" spans="2:3" outlineLevel="1" x14ac:dyDescent="0.2"/>
    <row r="27" spans="2:3" outlineLevel="1" x14ac:dyDescent="0.2"/>
    <row r="28" spans="2:3" ht="18.75" x14ac:dyDescent="0.3">
      <c r="B28" s="4" t="s">
        <v>121</v>
      </c>
    </row>
    <row r="29" spans="2:3" outlineLevel="1" x14ac:dyDescent="0.2"/>
    <row r="30" spans="2:3" outlineLevel="1" x14ac:dyDescent="0.2">
      <c r="B30" s="2" t="s">
        <v>132</v>
      </c>
    </row>
    <row r="31" spans="2:3" outlineLevel="1" x14ac:dyDescent="0.2">
      <c r="B31" s="2" t="s">
        <v>113</v>
      </c>
    </row>
    <row r="32" spans="2:3" outlineLevel="1" x14ac:dyDescent="0.2"/>
    <row r="33" spans="2:3" outlineLevel="1" x14ac:dyDescent="0.2">
      <c r="B33" s="32" t="s">
        <v>6</v>
      </c>
      <c r="C33" s="32" t="s">
        <v>144</v>
      </c>
    </row>
    <row r="34" spans="2:3" outlineLevel="1" x14ac:dyDescent="0.2">
      <c r="B34" s="33" t="s">
        <v>7</v>
      </c>
      <c r="C34" s="34" t="str">
        <f>LEFT(B34,2)</f>
        <v>AJ</v>
      </c>
    </row>
    <row r="35" spans="2:3" outlineLevel="1" x14ac:dyDescent="0.2">
      <c r="B35" s="33" t="s">
        <v>8</v>
      </c>
      <c r="C35" s="34" t="str">
        <f t="shared" ref="C35:C41" si="1">LEFT(B35,2)</f>
        <v>JN</v>
      </c>
    </row>
    <row r="36" spans="2:3" outlineLevel="1" x14ac:dyDescent="0.2">
      <c r="B36" s="33" t="s">
        <v>9</v>
      </c>
      <c r="C36" s="34" t="str">
        <f t="shared" si="1"/>
        <v>VR</v>
      </c>
    </row>
    <row r="37" spans="2:3" outlineLevel="1" x14ac:dyDescent="0.2">
      <c r="B37" s="33" t="s">
        <v>10</v>
      </c>
      <c r="C37" s="34" t="str">
        <f t="shared" si="1"/>
        <v>NR</v>
      </c>
    </row>
    <row r="38" spans="2:3" outlineLevel="1" x14ac:dyDescent="0.2">
      <c r="B38" s="33" t="s">
        <v>11</v>
      </c>
      <c r="C38" s="34" t="str">
        <f t="shared" si="1"/>
        <v>RC</v>
      </c>
    </row>
    <row r="39" spans="2:3" outlineLevel="1" x14ac:dyDescent="0.2">
      <c r="B39" s="33" t="s">
        <v>12</v>
      </c>
      <c r="C39" s="34" t="str">
        <f t="shared" si="1"/>
        <v>MJ</v>
      </c>
    </row>
    <row r="40" spans="2:3" outlineLevel="1" x14ac:dyDescent="0.2">
      <c r="B40" s="33" t="s">
        <v>13</v>
      </c>
      <c r="C40" s="34" t="str">
        <f t="shared" si="1"/>
        <v>AO</v>
      </c>
    </row>
    <row r="41" spans="2:3" outlineLevel="1" x14ac:dyDescent="0.2">
      <c r="B41" s="33" t="s">
        <v>14</v>
      </c>
      <c r="C41" s="34" t="str">
        <f t="shared" si="1"/>
        <v>NB</v>
      </c>
    </row>
    <row r="61" spans="2:2" ht="18.75" x14ac:dyDescent="0.3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ight_Send_To_1A">
                <anchor moveWithCells="1" sizeWithCells="1">
                  <from>
                    <xdr:col>1</xdr:col>
                    <xdr:colOff>114300</xdr:colOff>
                    <xdr:row>20</xdr:row>
                    <xdr:rowOff>95250</xdr:rowOff>
                  </from>
                  <to>
                    <xdr:col>2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ight_Send_To_1B">
                <anchor moveWithCells="1" sizeWithCells="1">
                  <from>
                    <xdr:col>3</xdr:col>
                    <xdr:colOff>485775</xdr:colOff>
                    <xdr:row>34</xdr:row>
                    <xdr:rowOff>9525</xdr:rowOff>
                  </from>
                  <to>
                    <xdr:col>4</xdr:col>
                    <xdr:colOff>790575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/>
  </sheetPr>
  <dimension ref="A1:P61"/>
  <sheetViews>
    <sheetView showGridLines="0" zoomScale="80" workbookViewId="0">
      <selection activeCell="D33" sqref="D33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0" width="10.6640625" style="2" customWidth="1"/>
    <col min="11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133</v>
      </c>
    </row>
    <row r="10" spans="1:16" outlineLevel="1" x14ac:dyDescent="0.2">
      <c r="B10" s="2" t="s">
        <v>112</v>
      </c>
    </row>
    <row r="11" spans="1:16" outlineLevel="1" x14ac:dyDescent="0.2"/>
    <row r="12" spans="1:16" outlineLevel="1" x14ac:dyDescent="0.2">
      <c r="B12" s="32" t="s">
        <v>6</v>
      </c>
      <c r="C12" s="32" t="s">
        <v>144</v>
      </c>
    </row>
    <row r="13" spans="1:16" outlineLevel="1" x14ac:dyDescent="0.2">
      <c r="B13" s="33" t="s">
        <v>7</v>
      </c>
      <c r="C13" s="34" t="str">
        <f t="shared" ref="C13:C20" si="0">RIGHT(B13,4)</f>
        <v>0269</v>
      </c>
    </row>
    <row r="14" spans="1:16" outlineLevel="1" x14ac:dyDescent="0.2">
      <c r="B14" s="33" t="s">
        <v>8</v>
      </c>
      <c r="C14" s="34" t="str">
        <f t="shared" si="0"/>
        <v>2525</v>
      </c>
    </row>
    <row r="15" spans="1:16" outlineLevel="1" x14ac:dyDescent="0.2">
      <c r="B15" s="33" t="s">
        <v>9</v>
      </c>
      <c r="C15" s="34" t="str">
        <f t="shared" si="0"/>
        <v>5512</v>
      </c>
    </row>
    <row r="16" spans="1:16" outlineLevel="1" x14ac:dyDescent="0.2">
      <c r="B16" s="33" t="s">
        <v>10</v>
      </c>
      <c r="C16" s="34" t="str">
        <f t="shared" si="0"/>
        <v>7470</v>
      </c>
    </row>
    <row r="17" spans="2:3" outlineLevel="1" x14ac:dyDescent="0.2">
      <c r="B17" s="33" t="s">
        <v>11</v>
      </c>
      <c r="C17" s="34" t="str">
        <f t="shared" si="0"/>
        <v>9018</v>
      </c>
    </row>
    <row r="18" spans="2:3" outlineLevel="1" x14ac:dyDescent="0.2">
      <c r="B18" s="33" t="s">
        <v>12</v>
      </c>
      <c r="C18" s="34" t="str">
        <f t="shared" si="0"/>
        <v>9506</v>
      </c>
    </row>
    <row r="19" spans="2:3" outlineLevel="1" x14ac:dyDescent="0.2">
      <c r="B19" s="33" t="s">
        <v>13</v>
      </c>
      <c r="C19" s="34" t="str">
        <f t="shared" si="0"/>
        <v>2706</v>
      </c>
    </row>
    <row r="20" spans="2:3" outlineLevel="1" x14ac:dyDescent="0.2">
      <c r="B20" s="33" t="s">
        <v>14</v>
      </c>
      <c r="C20" s="34" t="str">
        <f t="shared" si="0"/>
        <v>5160</v>
      </c>
    </row>
    <row r="21" spans="2:3" outlineLevel="1" x14ac:dyDescent="0.2"/>
    <row r="22" spans="2:3" outlineLevel="1" x14ac:dyDescent="0.2">
      <c r="B22"/>
    </row>
    <row r="23" spans="2:3" outlineLevel="1" x14ac:dyDescent="0.2"/>
    <row r="24" spans="2:3" outlineLevel="1" x14ac:dyDescent="0.2"/>
    <row r="25" spans="2:3" outlineLevel="1" x14ac:dyDescent="0.2"/>
    <row r="26" spans="2:3" outlineLevel="1" x14ac:dyDescent="0.2"/>
    <row r="27" spans="2:3" outlineLevel="1" x14ac:dyDescent="0.2"/>
    <row r="28" spans="2:3" ht="18.75" x14ac:dyDescent="0.3">
      <c r="B28" s="4" t="s">
        <v>121</v>
      </c>
    </row>
    <row r="29" spans="2:3" outlineLevel="1" x14ac:dyDescent="0.2"/>
    <row r="30" spans="2:3" outlineLevel="1" x14ac:dyDescent="0.2">
      <c r="B30" s="2" t="s">
        <v>132</v>
      </c>
    </row>
    <row r="31" spans="2:3" outlineLevel="1" x14ac:dyDescent="0.2">
      <c r="B31" s="2" t="s">
        <v>113</v>
      </c>
    </row>
    <row r="32" spans="2:3" outlineLevel="1" x14ac:dyDescent="0.2"/>
    <row r="33" spans="2:3" outlineLevel="1" x14ac:dyDescent="0.2">
      <c r="B33" s="32" t="s">
        <v>6</v>
      </c>
      <c r="C33" s="32" t="s">
        <v>144</v>
      </c>
    </row>
    <row r="34" spans="2:3" outlineLevel="1" x14ac:dyDescent="0.2">
      <c r="B34" s="33" t="s">
        <v>7</v>
      </c>
      <c r="C34" s="34" t="str">
        <f t="shared" ref="C34:C41" si="1">LEFT(B34,2)</f>
        <v>AJ</v>
      </c>
    </row>
    <row r="35" spans="2:3" outlineLevel="1" x14ac:dyDescent="0.2">
      <c r="B35" s="33" t="s">
        <v>8</v>
      </c>
      <c r="C35" s="34" t="str">
        <f t="shared" si="1"/>
        <v>JN</v>
      </c>
    </row>
    <row r="36" spans="2:3" outlineLevel="1" x14ac:dyDescent="0.2">
      <c r="B36" s="33" t="s">
        <v>9</v>
      </c>
      <c r="C36" s="34" t="str">
        <f t="shared" si="1"/>
        <v>VR</v>
      </c>
    </row>
    <row r="37" spans="2:3" outlineLevel="1" x14ac:dyDescent="0.2">
      <c r="B37" s="33" t="s">
        <v>10</v>
      </c>
      <c r="C37" s="34" t="str">
        <f t="shared" si="1"/>
        <v>NR</v>
      </c>
    </row>
    <row r="38" spans="2:3" outlineLevel="1" x14ac:dyDescent="0.2">
      <c r="B38" s="33" t="s">
        <v>11</v>
      </c>
      <c r="C38" s="34" t="str">
        <f t="shared" si="1"/>
        <v>RC</v>
      </c>
    </row>
    <row r="39" spans="2:3" outlineLevel="1" x14ac:dyDescent="0.2">
      <c r="B39" s="33" t="s">
        <v>12</v>
      </c>
      <c r="C39" s="34" t="str">
        <f t="shared" si="1"/>
        <v>MJ</v>
      </c>
    </row>
    <row r="40" spans="2:3" outlineLevel="1" x14ac:dyDescent="0.2">
      <c r="B40" s="33" t="s">
        <v>13</v>
      </c>
      <c r="C40" s="34" t="str">
        <f t="shared" si="1"/>
        <v>AO</v>
      </c>
    </row>
    <row r="41" spans="2:3" outlineLevel="1" x14ac:dyDescent="0.2">
      <c r="B41" s="33" t="s">
        <v>14</v>
      </c>
      <c r="C41" s="34" t="str">
        <f t="shared" si="1"/>
        <v>NB</v>
      </c>
    </row>
    <row r="61" spans="2:2" ht="18.75" x14ac:dyDescent="0.3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ight_Instruction_Send_To_1A">
                <anchor moveWithCells="1" sizeWithCells="1">
                  <from>
                    <xdr:col>3</xdr:col>
                    <xdr:colOff>533400</xdr:colOff>
                    <xdr:row>12</xdr:row>
                    <xdr:rowOff>95250</xdr:rowOff>
                  </from>
                  <to>
                    <xdr:col>4</xdr:col>
                    <xdr:colOff>838200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Right_Instruction_Send_To_1B">
                <anchor moveWithCells="1" sizeWithCells="1">
                  <from>
                    <xdr:col>3</xdr:col>
                    <xdr:colOff>476250</xdr:colOff>
                    <xdr:row>33</xdr:row>
                    <xdr:rowOff>104775</xdr:rowOff>
                  </from>
                  <to>
                    <xdr:col>4</xdr:col>
                    <xdr:colOff>790575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60"/>
  <sheetViews>
    <sheetView showGridLines="0" topLeftCell="A62" zoomScale="80" workbookViewId="0">
      <selection activeCell="F53" sqref="F53"/>
    </sheetView>
  </sheetViews>
  <sheetFormatPr defaultColWidth="9.33203125" defaultRowHeight="12.75" outlineLevelRow="1" x14ac:dyDescent="0.2"/>
  <cols>
    <col min="1" max="1" width="9.33203125" style="2"/>
    <col min="2" max="5" width="24.6640625" style="2" customWidth="1"/>
    <col min="6" max="6" width="30.6640625" style="2" customWidth="1"/>
    <col min="7" max="8" width="24.6640625" style="2" customWidth="1"/>
    <col min="9" max="9" width="10.832031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134</v>
      </c>
    </row>
    <row r="10" spans="1:16" outlineLevel="1" x14ac:dyDescent="0.2">
      <c r="B10" s="2" t="s">
        <v>15</v>
      </c>
    </row>
    <row r="11" spans="1:16" outlineLevel="1" x14ac:dyDescent="0.2"/>
    <row r="12" spans="1:16" outlineLevel="1" x14ac:dyDescent="0.2">
      <c r="B12" s="32" t="s">
        <v>6</v>
      </c>
      <c r="C12" s="32" t="s">
        <v>24</v>
      </c>
      <c r="D12" s="32" t="s">
        <v>145</v>
      </c>
    </row>
    <row r="13" spans="1:16" outlineLevel="1" x14ac:dyDescent="0.2">
      <c r="B13" s="33" t="s">
        <v>18</v>
      </c>
      <c r="C13" s="34">
        <f>FIND("-",B13)</f>
        <v>5</v>
      </c>
      <c r="D13" s="34" t="str">
        <f>LEFT(B13,C13-1)</f>
        <v>VTYQ</v>
      </c>
    </row>
    <row r="14" spans="1:16" outlineLevel="1" x14ac:dyDescent="0.2">
      <c r="B14" s="33" t="s">
        <v>19</v>
      </c>
      <c r="C14" s="34">
        <f t="shared" ref="C14:C20" si="0">FIND("-",B14)</f>
        <v>4</v>
      </c>
      <c r="D14" s="34" t="str">
        <f t="shared" ref="D14:D20" si="1">LEFT(B14,C14-1)</f>
        <v>YPX</v>
      </c>
    </row>
    <row r="15" spans="1:16" outlineLevel="1" x14ac:dyDescent="0.2">
      <c r="B15" s="33" t="s">
        <v>20</v>
      </c>
      <c r="C15" s="34">
        <f t="shared" si="0"/>
        <v>2</v>
      </c>
      <c r="D15" s="34" t="str">
        <f t="shared" si="1"/>
        <v>X</v>
      </c>
    </row>
    <row r="16" spans="1:16" outlineLevel="1" x14ac:dyDescent="0.2">
      <c r="B16" s="33" t="s">
        <v>16</v>
      </c>
      <c r="C16" s="34">
        <f t="shared" si="0"/>
        <v>3</v>
      </c>
      <c r="D16" s="34" t="str">
        <f t="shared" si="1"/>
        <v>ZT</v>
      </c>
    </row>
    <row r="17" spans="2:6" outlineLevel="1" x14ac:dyDescent="0.2">
      <c r="B17" s="33" t="s">
        <v>21</v>
      </c>
      <c r="C17" s="34">
        <f t="shared" si="0"/>
        <v>5</v>
      </c>
      <c r="D17" s="34" t="str">
        <f t="shared" si="1"/>
        <v>LTXT</v>
      </c>
    </row>
    <row r="18" spans="2:6" outlineLevel="1" x14ac:dyDescent="0.2">
      <c r="B18" s="33" t="s">
        <v>22</v>
      </c>
      <c r="C18" s="34">
        <f t="shared" si="0"/>
        <v>4</v>
      </c>
      <c r="D18" s="34" t="str">
        <f t="shared" si="1"/>
        <v>KWU</v>
      </c>
    </row>
    <row r="19" spans="2:6" outlineLevel="1" x14ac:dyDescent="0.2">
      <c r="B19" s="33" t="s">
        <v>17</v>
      </c>
      <c r="C19" s="34">
        <f t="shared" si="0"/>
        <v>3</v>
      </c>
      <c r="D19" s="34" t="str">
        <f t="shared" si="1"/>
        <v>VY</v>
      </c>
    </row>
    <row r="20" spans="2:6" outlineLevel="1" x14ac:dyDescent="0.2">
      <c r="B20" s="33" t="s">
        <v>23</v>
      </c>
      <c r="C20" s="34">
        <f t="shared" si="0"/>
        <v>4</v>
      </c>
      <c r="D20" s="34" t="str">
        <f t="shared" si="1"/>
        <v>NZX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124</v>
      </c>
    </row>
    <row r="28" spans="2:6" ht="18.75" outlineLevel="1" x14ac:dyDescent="0.3">
      <c r="B28" s="4"/>
    </row>
    <row r="29" spans="2:6" outlineLevel="1" x14ac:dyDescent="0.2">
      <c r="B29" s="2" t="s">
        <v>134</v>
      </c>
    </row>
    <row r="30" spans="2:6" outlineLevel="1" x14ac:dyDescent="0.2">
      <c r="B30" s="2" t="s">
        <v>26</v>
      </c>
    </row>
    <row r="31" spans="2:6" outlineLevel="1" x14ac:dyDescent="0.2"/>
    <row r="32" spans="2:6" s="39" customFormat="1" ht="17.25" customHeight="1" outlineLevel="1" x14ac:dyDescent="0.2">
      <c r="B32" s="38" t="s">
        <v>6</v>
      </c>
      <c r="C32" s="38" t="s">
        <v>24</v>
      </c>
      <c r="D32" s="38" t="s">
        <v>25</v>
      </c>
      <c r="E32" s="38" t="s">
        <v>145</v>
      </c>
      <c r="F32" s="38" t="s">
        <v>115</v>
      </c>
    </row>
    <row r="33" spans="2:6" s="39" customFormat="1" ht="17.25" customHeight="1" outlineLevel="1" x14ac:dyDescent="0.2">
      <c r="B33" s="40" t="s">
        <v>18</v>
      </c>
      <c r="C33" s="41">
        <f>FIND("-",B33)</f>
        <v>5</v>
      </c>
      <c r="D33" s="41">
        <f>LEN(B33)</f>
        <v>9</v>
      </c>
      <c r="E33" s="41" t="str">
        <f>RIGHT(B33,D33-C33)</f>
        <v>2216</v>
      </c>
      <c r="F33" s="41" t="str">
        <f>RIGHT(B33,LEN(B33)-FIND("-",B33))</f>
        <v>2216</v>
      </c>
    </row>
    <row r="34" spans="2:6" s="39" customFormat="1" ht="17.25" customHeight="1" outlineLevel="1" x14ac:dyDescent="0.2">
      <c r="B34" s="40" t="s">
        <v>137</v>
      </c>
      <c r="C34" s="41">
        <f t="shared" ref="C34:C40" si="2">FIND("-",B34)</f>
        <v>4</v>
      </c>
      <c r="D34" s="41">
        <f t="shared" ref="D34:D40" si="3">LEN(B34)</f>
        <v>7</v>
      </c>
      <c r="E34" s="41" t="str">
        <f t="shared" ref="E34:E40" si="4">RIGHT(B34,D34-C34)</f>
        <v>382</v>
      </c>
      <c r="F34" s="41" t="str">
        <f t="shared" ref="F34:F40" si="5">RIGHT(B34,LEN(B34)-FIND("-",B34))</f>
        <v>382</v>
      </c>
    </row>
    <row r="35" spans="2:6" s="39" customFormat="1" ht="17.25" customHeight="1" outlineLevel="1" x14ac:dyDescent="0.2">
      <c r="B35" s="40" t="s">
        <v>138</v>
      </c>
      <c r="C35" s="41">
        <f t="shared" si="2"/>
        <v>2</v>
      </c>
      <c r="D35" s="41">
        <f t="shared" si="3"/>
        <v>4</v>
      </c>
      <c r="E35" s="41" t="str">
        <f t="shared" si="4"/>
        <v>29</v>
      </c>
      <c r="F35" s="41" t="str">
        <f t="shared" si="5"/>
        <v>29</v>
      </c>
    </row>
    <row r="36" spans="2:6" s="39" customFormat="1" ht="17.25" customHeight="1" outlineLevel="1" x14ac:dyDescent="0.2">
      <c r="B36" s="40" t="s">
        <v>139</v>
      </c>
      <c r="C36" s="41">
        <f t="shared" si="2"/>
        <v>3</v>
      </c>
      <c r="D36" s="41">
        <f t="shared" si="3"/>
        <v>8</v>
      </c>
      <c r="E36" s="41" t="str">
        <f t="shared" si="4"/>
        <v>97486</v>
      </c>
      <c r="F36" s="41" t="str">
        <f t="shared" si="5"/>
        <v>97486</v>
      </c>
    </row>
    <row r="37" spans="2:6" s="39" customFormat="1" ht="17.25" customHeight="1" outlineLevel="1" x14ac:dyDescent="0.2">
      <c r="B37" s="40" t="s">
        <v>140</v>
      </c>
      <c r="C37" s="41">
        <f t="shared" si="2"/>
        <v>5</v>
      </c>
      <c r="D37" s="41">
        <f t="shared" si="3"/>
        <v>10</v>
      </c>
      <c r="E37" s="41" t="str">
        <f t="shared" si="4"/>
        <v>36166</v>
      </c>
      <c r="F37" s="41" t="str">
        <f t="shared" si="5"/>
        <v>36166</v>
      </c>
    </row>
    <row r="38" spans="2:6" s="39" customFormat="1" ht="17.25" customHeight="1" outlineLevel="1" x14ac:dyDescent="0.2">
      <c r="B38" s="40" t="s">
        <v>141</v>
      </c>
      <c r="C38" s="41">
        <f t="shared" si="2"/>
        <v>4</v>
      </c>
      <c r="D38" s="41">
        <f t="shared" si="3"/>
        <v>6</v>
      </c>
      <c r="E38" s="41" t="str">
        <f t="shared" si="4"/>
        <v>99</v>
      </c>
      <c r="F38" s="41" t="str">
        <f t="shared" si="5"/>
        <v>99</v>
      </c>
    </row>
    <row r="39" spans="2:6" s="39" customFormat="1" ht="17.25" customHeight="1" outlineLevel="1" x14ac:dyDescent="0.2">
      <c r="B39" s="40" t="s">
        <v>142</v>
      </c>
      <c r="C39" s="41">
        <f t="shared" si="2"/>
        <v>3</v>
      </c>
      <c r="D39" s="41">
        <f t="shared" si="3"/>
        <v>6</v>
      </c>
      <c r="E39" s="41" t="str">
        <f t="shared" si="4"/>
        <v>205</v>
      </c>
      <c r="F39" s="41" t="str">
        <f t="shared" si="5"/>
        <v>205</v>
      </c>
    </row>
    <row r="40" spans="2:6" s="39" customFormat="1" ht="17.25" customHeight="1" outlineLevel="1" x14ac:dyDescent="0.2">
      <c r="B40" s="40" t="s">
        <v>143</v>
      </c>
      <c r="C40" s="41">
        <f t="shared" si="2"/>
        <v>4</v>
      </c>
      <c r="D40" s="41">
        <f t="shared" si="3"/>
        <v>7</v>
      </c>
      <c r="E40" s="41" t="str">
        <f t="shared" si="4"/>
        <v>061</v>
      </c>
      <c r="F40" s="41" t="str">
        <f t="shared" si="5"/>
        <v>061</v>
      </c>
    </row>
    <row r="41" spans="2:6" outlineLevel="1" x14ac:dyDescent="0.2"/>
    <row r="42" spans="2:6" outlineLevel="1" x14ac:dyDescent="0.2"/>
    <row r="43" spans="2:6" outlineLevel="1" x14ac:dyDescent="0.2">
      <c r="B43" s="6"/>
    </row>
    <row r="44" spans="2:6" outlineLevel="1" x14ac:dyDescent="0.2">
      <c r="B44" s="7"/>
    </row>
    <row r="45" spans="2:6" outlineLevel="1" x14ac:dyDescent="0.2"/>
    <row r="46" spans="2:6" outlineLevel="1" x14ac:dyDescent="0.2"/>
    <row r="47" spans="2:6" outlineLevel="1" x14ac:dyDescent="0.2"/>
    <row r="48" spans="2:6" ht="18.75" x14ac:dyDescent="0.3">
      <c r="B48" s="4" t="s">
        <v>117</v>
      </c>
    </row>
    <row r="49" spans="2:8" outlineLevel="1" x14ac:dyDescent="0.2">
      <c r="B49" s="2" t="s">
        <v>135</v>
      </c>
    </row>
    <row r="50" spans="2:8" outlineLevel="1" x14ac:dyDescent="0.2">
      <c r="B50" s="2" t="s">
        <v>39</v>
      </c>
    </row>
    <row r="51" spans="2:8" outlineLevel="1" x14ac:dyDescent="0.2"/>
    <row r="52" spans="2:8" s="44" customFormat="1" ht="27.75" customHeight="1" outlineLevel="1" x14ac:dyDescent="0.2">
      <c r="B52" s="43" t="s">
        <v>27</v>
      </c>
      <c r="C52" s="43" t="s">
        <v>40</v>
      </c>
      <c r="D52" s="43" t="s">
        <v>35</v>
      </c>
      <c r="E52" s="43" t="s">
        <v>24</v>
      </c>
      <c r="F52" s="43" t="s">
        <v>36</v>
      </c>
      <c r="G52" s="43" t="s">
        <v>37</v>
      </c>
      <c r="H52" s="43" t="s">
        <v>38</v>
      </c>
    </row>
    <row r="53" spans="2:8" s="39" customFormat="1" ht="27.75" customHeight="1" outlineLevel="1" x14ac:dyDescent="0.2">
      <c r="B53" s="40" t="s">
        <v>28</v>
      </c>
      <c r="C53" s="41">
        <f>FIND("(",B53)</f>
        <v>1</v>
      </c>
      <c r="D53" s="41">
        <f>FIND(")",B53)</f>
        <v>5</v>
      </c>
      <c r="E53" s="41">
        <f>FIND("-",B53)</f>
        <v>9</v>
      </c>
      <c r="F53" s="41" t="str">
        <f>MID(B53,C53+1,3)</f>
        <v>834</v>
      </c>
      <c r="G53" s="41" t="str">
        <f>MID(B53,D53+1,3)</f>
        <v>133</v>
      </c>
      <c r="H53" s="41" t="str">
        <f>RIGHT(B53,4)</f>
        <v>1776</v>
      </c>
    </row>
    <row r="54" spans="2:8" s="39" customFormat="1" ht="27.75" customHeight="1" outlineLevel="1" x14ac:dyDescent="0.2">
      <c r="B54" s="40" t="s">
        <v>29</v>
      </c>
      <c r="C54" s="41">
        <f t="shared" ref="C54:C59" si="6">FIND("(",B54)</f>
        <v>1</v>
      </c>
      <c r="D54" s="41">
        <f t="shared" ref="D54:D59" si="7">FIND(")",B54)</f>
        <v>5</v>
      </c>
      <c r="E54" s="41">
        <f t="shared" ref="E54:E59" si="8">FIND("-",B54)</f>
        <v>9</v>
      </c>
      <c r="F54" s="41" t="str">
        <f t="shared" ref="F54:F59" si="9">MID(B54,C54+1,3)</f>
        <v>623</v>
      </c>
      <c r="G54" s="41" t="str">
        <f t="shared" ref="G54:G59" si="10">MID(B54,D54+1,3)</f>
        <v>560</v>
      </c>
      <c r="H54" s="41" t="str">
        <f t="shared" ref="H54:H59" si="11">RIGHT(B54,4)</f>
        <v>7830</v>
      </c>
    </row>
    <row r="55" spans="2:8" s="39" customFormat="1" ht="27.75" customHeight="1" outlineLevel="1" x14ac:dyDescent="0.2">
      <c r="B55" s="40" t="s">
        <v>30</v>
      </c>
      <c r="C55" s="41">
        <f t="shared" si="6"/>
        <v>1</v>
      </c>
      <c r="D55" s="41">
        <f t="shared" si="7"/>
        <v>5</v>
      </c>
      <c r="E55" s="41">
        <f t="shared" si="8"/>
        <v>9</v>
      </c>
      <c r="F55" s="41" t="str">
        <f t="shared" si="9"/>
        <v>220</v>
      </c>
      <c r="G55" s="41" t="str">
        <f t="shared" si="10"/>
        <v>249</v>
      </c>
      <c r="H55" s="41" t="str">
        <f t="shared" si="11"/>
        <v>2610</v>
      </c>
    </row>
    <row r="56" spans="2:8" s="39" customFormat="1" ht="27.75" customHeight="1" outlineLevel="1" x14ac:dyDescent="0.2">
      <c r="B56" s="40" t="s">
        <v>31</v>
      </c>
      <c r="C56" s="41">
        <f t="shared" si="6"/>
        <v>1</v>
      </c>
      <c r="D56" s="41">
        <f t="shared" si="7"/>
        <v>5</v>
      </c>
      <c r="E56" s="41">
        <f t="shared" si="8"/>
        <v>9</v>
      </c>
      <c r="F56" s="41" t="str">
        <f t="shared" si="9"/>
        <v>444</v>
      </c>
      <c r="G56" s="41" t="str">
        <f t="shared" si="10"/>
        <v>698</v>
      </c>
      <c r="H56" s="41" t="str">
        <f t="shared" si="11"/>
        <v>6184</v>
      </c>
    </row>
    <row r="57" spans="2:8" s="39" customFormat="1" ht="27.75" customHeight="1" outlineLevel="1" x14ac:dyDescent="0.2">
      <c r="B57" s="40" t="s">
        <v>32</v>
      </c>
      <c r="C57" s="41">
        <f t="shared" si="6"/>
        <v>1</v>
      </c>
      <c r="D57" s="41">
        <f t="shared" si="7"/>
        <v>5</v>
      </c>
      <c r="E57" s="41">
        <f t="shared" si="8"/>
        <v>9</v>
      </c>
      <c r="F57" s="41" t="str">
        <f t="shared" si="9"/>
        <v>639</v>
      </c>
      <c r="G57" s="41" t="str">
        <f t="shared" si="10"/>
        <v>771</v>
      </c>
      <c r="H57" s="41" t="str">
        <f t="shared" si="11"/>
        <v>1953</v>
      </c>
    </row>
    <row r="58" spans="2:8" s="39" customFormat="1" ht="27.75" customHeight="1" outlineLevel="1" x14ac:dyDescent="0.2">
      <c r="B58" s="40" t="s">
        <v>33</v>
      </c>
      <c r="C58" s="41">
        <f t="shared" si="6"/>
        <v>1</v>
      </c>
      <c r="D58" s="41">
        <f t="shared" si="7"/>
        <v>5</v>
      </c>
      <c r="E58" s="41">
        <f t="shared" si="8"/>
        <v>9</v>
      </c>
      <c r="F58" s="41" t="str">
        <f t="shared" si="9"/>
        <v>761</v>
      </c>
      <c r="G58" s="41" t="str">
        <f t="shared" si="10"/>
        <v>431</v>
      </c>
      <c r="H58" s="41" t="str">
        <f t="shared" si="11"/>
        <v>5462</v>
      </c>
    </row>
    <row r="59" spans="2:8" s="39" customFormat="1" ht="27.75" customHeight="1" outlineLevel="1" x14ac:dyDescent="0.2">
      <c r="B59" s="40" t="s">
        <v>34</v>
      </c>
      <c r="C59" s="41">
        <f t="shared" si="6"/>
        <v>1</v>
      </c>
      <c r="D59" s="41">
        <f t="shared" si="7"/>
        <v>5</v>
      </c>
      <c r="E59" s="41">
        <f t="shared" si="8"/>
        <v>9</v>
      </c>
      <c r="F59" s="41" t="str">
        <f t="shared" si="9"/>
        <v>326</v>
      </c>
      <c r="G59" s="41" t="str">
        <f t="shared" si="10"/>
        <v>681</v>
      </c>
      <c r="H59" s="41" t="str">
        <f t="shared" si="11"/>
        <v>5891</v>
      </c>
    </row>
    <row r="60" spans="2:8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Find_Send_To_1A">
                <anchor moveWithCells="1" sizeWithCells="1">
                  <from>
                    <xdr:col>4</xdr:col>
                    <xdr:colOff>323850</xdr:colOff>
                    <xdr:row>12</xdr:row>
                    <xdr:rowOff>76200</xdr:rowOff>
                  </from>
                  <to>
                    <xdr:col>5</xdr:col>
                    <xdr:colOff>647700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isWorkbook.Find_Send_To_2A">
                <anchor moveWithCells="1" sizeWithCells="1">
                  <from>
                    <xdr:col>6</xdr:col>
                    <xdr:colOff>152400</xdr:colOff>
                    <xdr:row>32</xdr:row>
                    <xdr:rowOff>123825</xdr:rowOff>
                  </from>
                  <to>
                    <xdr:col>7</xdr:col>
                    <xdr:colOff>466725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hisWorkbook.Find_Send_To_2B">
                <anchor moveWithCells="1" sizeWithCells="1">
                  <from>
                    <xdr:col>8</xdr:col>
                    <xdr:colOff>342900</xdr:colOff>
                    <xdr:row>51</xdr:row>
                    <xdr:rowOff>247650</xdr:rowOff>
                  </from>
                  <to>
                    <xdr:col>11</xdr:col>
                    <xdr:colOff>400050</xdr:colOff>
                    <xdr:row>54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/>
  </sheetPr>
  <dimension ref="A1:P60"/>
  <sheetViews>
    <sheetView showGridLines="0" topLeftCell="A37" zoomScale="80" workbookViewId="0">
      <selection activeCell="H43" sqref="H43"/>
    </sheetView>
  </sheetViews>
  <sheetFormatPr defaultColWidth="9.33203125" defaultRowHeight="12.75" outlineLevelRow="1" x14ac:dyDescent="0.2"/>
  <cols>
    <col min="1" max="1" width="9.33203125" style="2"/>
    <col min="2" max="8" width="24.6640625" style="2" customWidth="1"/>
    <col min="9" max="9" width="10.83203125" style="2" customWidth="1"/>
    <col min="10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134</v>
      </c>
    </row>
    <row r="10" spans="1:16" outlineLevel="1" x14ac:dyDescent="0.2">
      <c r="B10" s="2" t="s">
        <v>15</v>
      </c>
    </row>
    <row r="11" spans="1:16" outlineLevel="1" x14ac:dyDescent="0.2"/>
    <row r="12" spans="1:16" outlineLevel="1" x14ac:dyDescent="0.2">
      <c r="B12" s="32" t="s">
        <v>6</v>
      </c>
      <c r="C12" s="32" t="s">
        <v>24</v>
      </c>
      <c r="D12" s="32" t="s">
        <v>145</v>
      </c>
    </row>
    <row r="13" spans="1:16" outlineLevel="1" x14ac:dyDescent="0.2">
      <c r="B13" s="33" t="s">
        <v>18</v>
      </c>
      <c r="C13" s="34">
        <f>FIND("-",B13)</f>
        <v>5</v>
      </c>
      <c r="D13" s="34" t="str">
        <f>LEFT(B13,C13-1)</f>
        <v>VTYQ</v>
      </c>
    </row>
    <row r="14" spans="1:16" outlineLevel="1" x14ac:dyDescent="0.2">
      <c r="B14" s="33" t="s">
        <v>19</v>
      </c>
      <c r="C14" s="34">
        <f t="shared" ref="C14:C20" si="0">FIND("-",B14)</f>
        <v>4</v>
      </c>
      <c r="D14" s="34" t="str">
        <f t="shared" ref="D14:D20" si="1">LEFT(B14,C14-1)</f>
        <v>YPX</v>
      </c>
    </row>
    <row r="15" spans="1:16" outlineLevel="1" x14ac:dyDescent="0.2">
      <c r="B15" s="33" t="s">
        <v>20</v>
      </c>
      <c r="C15" s="34">
        <f t="shared" si="0"/>
        <v>2</v>
      </c>
      <c r="D15" s="34" t="str">
        <f t="shared" si="1"/>
        <v>X</v>
      </c>
    </row>
    <row r="16" spans="1:16" outlineLevel="1" x14ac:dyDescent="0.2">
      <c r="B16" s="33" t="s">
        <v>16</v>
      </c>
      <c r="C16" s="34">
        <f t="shared" si="0"/>
        <v>3</v>
      </c>
      <c r="D16" s="34" t="str">
        <f t="shared" si="1"/>
        <v>ZT</v>
      </c>
    </row>
    <row r="17" spans="2:6" outlineLevel="1" x14ac:dyDescent="0.2">
      <c r="B17" s="33" t="s">
        <v>21</v>
      </c>
      <c r="C17" s="34">
        <f t="shared" si="0"/>
        <v>5</v>
      </c>
      <c r="D17" s="34" t="str">
        <f t="shared" si="1"/>
        <v>LTXT</v>
      </c>
    </row>
    <row r="18" spans="2:6" outlineLevel="1" x14ac:dyDescent="0.2">
      <c r="B18" s="33" t="s">
        <v>22</v>
      </c>
      <c r="C18" s="34">
        <f t="shared" si="0"/>
        <v>4</v>
      </c>
      <c r="D18" s="34" t="str">
        <f t="shared" si="1"/>
        <v>KWU</v>
      </c>
    </row>
    <row r="19" spans="2:6" outlineLevel="1" x14ac:dyDescent="0.2">
      <c r="B19" s="33" t="s">
        <v>17</v>
      </c>
      <c r="C19" s="34">
        <f t="shared" si="0"/>
        <v>3</v>
      </c>
      <c r="D19" s="34" t="str">
        <f t="shared" si="1"/>
        <v>VY</v>
      </c>
    </row>
    <row r="20" spans="2:6" outlineLevel="1" x14ac:dyDescent="0.2">
      <c r="B20" s="33" t="s">
        <v>23</v>
      </c>
      <c r="C20" s="34">
        <f t="shared" si="0"/>
        <v>4</v>
      </c>
      <c r="D20" s="34" t="str">
        <f t="shared" si="1"/>
        <v>NZX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124</v>
      </c>
    </row>
    <row r="28" spans="2:6" ht="18.75" outlineLevel="1" x14ac:dyDescent="0.3">
      <c r="B28" s="4"/>
    </row>
    <row r="29" spans="2:6" outlineLevel="1" x14ac:dyDescent="0.2">
      <c r="B29" s="2" t="s">
        <v>134</v>
      </c>
    </row>
    <row r="30" spans="2:6" outlineLevel="1" x14ac:dyDescent="0.2">
      <c r="B30" s="2" t="s">
        <v>26</v>
      </c>
    </row>
    <row r="31" spans="2:6" outlineLevel="1" x14ac:dyDescent="0.2"/>
    <row r="32" spans="2:6" outlineLevel="1" x14ac:dyDescent="0.2">
      <c r="B32" s="32" t="s">
        <v>6</v>
      </c>
      <c r="C32" s="32" t="s">
        <v>24</v>
      </c>
      <c r="D32" s="32" t="s">
        <v>25</v>
      </c>
      <c r="E32" s="32" t="s">
        <v>145</v>
      </c>
      <c r="F32" s="32" t="s">
        <v>115</v>
      </c>
    </row>
    <row r="33" spans="2:6" outlineLevel="1" x14ac:dyDescent="0.2">
      <c r="B33" s="33" t="s">
        <v>18</v>
      </c>
      <c r="C33" s="34">
        <f>FIND("-",B33)</f>
        <v>5</v>
      </c>
      <c r="D33" s="34">
        <f>LEN(B33)</f>
        <v>9</v>
      </c>
      <c r="E33" s="34" t="str">
        <f>RIGHT(B33,D33-C33)</f>
        <v>2216</v>
      </c>
      <c r="F33" s="34" t="str">
        <f>RIGHT(B33,LEN(B33)-FIND("-",B33))</f>
        <v>2216</v>
      </c>
    </row>
    <row r="34" spans="2:6" outlineLevel="1" x14ac:dyDescent="0.2">
      <c r="B34" s="33" t="s">
        <v>137</v>
      </c>
      <c r="C34" s="34">
        <f t="shared" ref="C34:C40" si="2">FIND("-",B34)</f>
        <v>4</v>
      </c>
      <c r="D34" s="34">
        <f t="shared" ref="D34:D40" si="3">LEN(B34)</f>
        <v>7</v>
      </c>
      <c r="E34" s="34" t="str">
        <f t="shared" ref="E34:E40" si="4">RIGHT(B34,D34-C34)</f>
        <v>382</v>
      </c>
      <c r="F34" s="34" t="str">
        <f t="shared" ref="F34:F40" si="5">RIGHT(B34,LEN(B34)-FIND("-",B34))</f>
        <v>382</v>
      </c>
    </row>
    <row r="35" spans="2:6" outlineLevel="1" x14ac:dyDescent="0.2">
      <c r="B35" s="33" t="s">
        <v>138</v>
      </c>
      <c r="C35" s="34">
        <f t="shared" si="2"/>
        <v>2</v>
      </c>
      <c r="D35" s="34">
        <f t="shared" si="3"/>
        <v>4</v>
      </c>
      <c r="E35" s="34" t="str">
        <f t="shared" si="4"/>
        <v>29</v>
      </c>
      <c r="F35" s="34" t="str">
        <f t="shared" si="5"/>
        <v>29</v>
      </c>
    </row>
    <row r="36" spans="2:6" outlineLevel="1" x14ac:dyDescent="0.2">
      <c r="B36" s="33" t="s">
        <v>139</v>
      </c>
      <c r="C36" s="34">
        <f t="shared" si="2"/>
        <v>3</v>
      </c>
      <c r="D36" s="34">
        <f t="shared" si="3"/>
        <v>8</v>
      </c>
      <c r="E36" s="34" t="str">
        <f t="shared" si="4"/>
        <v>97486</v>
      </c>
      <c r="F36" s="34" t="str">
        <f t="shared" si="5"/>
        <v>97486</v>
      </c>
    </row>
    <row r="37" spans="2:6" outlineLevel="1" x14ac:dyDescent="0.2">
      <c r="B37" s="33" t="s">
        <v>140</v>
      </c>
      <c r="C37" s="34">
        <f t="shared" si="2"/>
        <v>5</v>
      </c>
      <c r="D37" s="34">
        <f t="shared" si="3"/>
        <v>10</v>
      </c>
      <c r="E37" s="34" t="str">
        <f t="shared" si="4"/>
        <v>36166</v>
      </c>
      <c r="F37" s="34" t="str">
        <f t="shared" si="5"/>
        <v>36166</v>
      </c>
    </row>
    <row r="38" spans="2:6" outlineLevel="1" x14ac:dyDescent="0.2">
      <c r="B38" s="33" t="s">
        <v>141</v>
      </c>
      <c r="C38" s="34">
        <f t="shared" si="2"/>
        <v>4</v>
      </c>
      <c r="D38" s="34">
        <f t="shared" si="3"/>
        <v>6</v>
      </c>
      <c r="E38" s="34" t="str">
        <f t="shared" si="4"/>
        <v>99</v>
      </c>
      <c r="F38" s="34" t="str">
        <f t="shared" si="5"/>
        <v>99</v>
      </c>
    </row>
    <row r="39" spans="2:6" outlineLevel="1" x14ac:dyDescent="0.2">
      <c r="B39" s="33" t="s">
        <v>142</v>
      </c>
      <c r="C39" s="34">
        <f t="shared" si="2"/>
        <v>3</v>
      </c>
      <c r="D39" s="34">
        <f t="shared" si="3"/>
        <v>6</v>
      </c>
      <c r="E39" s="34" t="str">
        <f t="shared" si="4"/>
        <v>205</v>
      </c>
      <c r="F39" s="34" t="str">
        <f t="shared" si="5"/>
        <v>205</v>
      </c>
    </row>
    <row r="40" spans="2:6" outlineLevel="1" x14ac:dyDescent="0.2">
      <c r="B40" s="33" t="s">
        <v>143</v>
      </c>
      <c r="C40" s="34">
        <f t="shared" si="2"/>
        <v>4</v>
      </c>
      <c r="D40" s="34">
        <f t="shared" si="3"/>
        <v>7</v>
      </c>
      <c r="E40" s="34" t="str">
        <f t="shared" si="4"/>
        <v>061</v>
      </c>
      <c r="F40" s="34" t="str">
        <f t="shared" si="5"/>
        <v>061</v>
      </c>
    </row>
    <row r="41" spans="2:6" outlineLevel="1" x14ac:dyDescent="0.2"/>
    <row r="42" spans="2:6" outlineLevel="1" x14ac:dyDescent="0.2"/>
    <row r="43" spans="2:6" outlineLevel="1" x14ac:dyDescent="0.2">
      <c r="B43" s="6"/>
    </row>
    <row r="44" spans="2:6" outlineLevel="1" x14ac:dyDescent="0.2">
      <c r="B44" s="7"/>
    </row>
    <row r="45" spans="2:6" outlineLevel="1" x14ac:dyDescent="0.2"/>
    <row r="46" spans="2:6" outlineLevel="1" x14ac:dyDescent="0.2"/>
    <row r="47" spans="2:6" outlineLevel="1" x14ac:dyDescent="0.2"/>
    <row r="48" spans="2:6" ht="18.75" x14ac:dyDescent="0.3">
      <c r="B48" s="4" t="s">
        <v>117</v>
      </c>
    </row>
    <row r="49" spans="2:8" outlineLevel="1" x14ac:dyDescent="0.2">
      <c r="B49" s="2" t="s">
        <v>135</v>
      </c>
    </row>
    <row r="50" spans="2:8" outlineLevel="1" x14ac:dyDescent="0.2">
      <c r="B50" s="2" t="s">
        <v>39</v>
      </c>
    </row>
    <row r="51" spans="2:8" outlineLevel="1" x14ac:dyDescent="0.2"/>
    <row r="52" spans="2:8" s="35" customFormat="1" ht="25.5" outlineLevel="1" x14ac:dyDescent="0.2">
      <c r="B52" s="42" t="s">
        <v>27</v>
      </c>
      <c r="C52" s="42" t="s">
        <v>40</v>
      </c>
      <c r="D52" s="42" t="s">
        <v>35</v>
      </c>
      <c r="E52" s="42" t="s">
        <v>24</v>
      </c>
      <c r="F52" s="42" t="s">
        <v>36</v>
      </c>
      <c r="G52" s="42" t="s">
        <v>37</v>
      </c>
      <c r="H52" s="42" t="s">
        <v>38</v>
      </c>
    </row>
    <row r="53" spans="2:8" outlineLevel="1" x14ac:dyDescent="0.2">
      <c r="B53" s="36" t="s">
        <v>28</v>
      </c>
      <c r="C53" s="37">
        <f>FIND("(",B53)</f>
        <v>1</v>
      </c>
      <c r="D53" s="37">
        <f>FIND(")",B53)</f>
        <v>5</v>
      </c>
      <c r="E53" s="37">
        <f>FIND("-",B53)</f>
        <v>9</v>
      </c>
      <c r="F53" s="37" t="str">
        <f>MID(B53,C53+1,3)</f>
        <v>834</v>
      </c>
      <c r="G53" s="37" t="str">
        <f>MID(B53,D53+1,3)</f>
        <v>133</v>
      </c>
      <c r="H53" s="37" t="str">
        <f>MID(B53,E53+1,4)</f>
        <v>1776</v>
      </c>
    </row>
    <row r="54" spans="2:8" outlineLevel="1" x14ac:dyDescent="0.2">
      <c r="B54" s="36" t="s">
        <v>29</v>
      </c>
      <c r="C54" s="37">
        <f t="shared" ref="C54:C59" si="6">FIND("(",B54)</f>
        <v>1</v>
      </c>
      <c r="D54" s="37">
        <f t="shared" ref="D54:D59" si="7">FIND(")",B54)</f>
        <v>5</v>
      </c>
      <c r="E54" s="37">
        <f t="shared" ref="E54:E59" si="8">FIND("-",B54)</f>
        <v>9</v>
      </c>
      <c r="F54" s="37" t="str">
        <f t="shared" ref="F54:F59" si="9">MID(B54,C54+1,3)</f>
        <v>623</v>
      </c>
      <c r="G54" s="37" t="str">
        <f t="shared" ref="G54:G59" si="10">MID(B54,D54+1,3)</f>
        <v>560</v>
      </c>
      <c r="H54" s="37" t="str">
        <f t="shared" ref="H54:H59" si="11">MID(B54,E54+1,4)</f>
        <v>7830</v>
      </c>
    </row>
    <row r="55" spans="2:8" outlineLevel="1" x14ac:dyDescent="0.2">
      <c r="B55" s="36" t="s">
        <v>30</v>
      </c>
      <c r="C55" s="37">
        <f t="shared" si="6"/>
        <v>1</v>
      </c>
      <c r="D55" s="37">
        <f t="shared" si="7"/>
        <v>5</v>
      </c>
      <c r="E55" s="37">
        <f t="shared" si="8"/>
        <v>9</v>
      </c>
      <c r="F55" s="37" t="str">
        <f t="shared" si="9"/>
        <v>220</v>
      </c>
      <c r="G55" s="37" t="str">
        <f t="shared" si="10"/>
        <v>249</v>
      </c>
      <c r="H55" s="37" t="str">
        <f t="shared" si="11"/>
        <v>2610</v>
      </c>
    </row>
    <row r="56" spans="2:8" outlineLevel="1" x14ac:dyDescent="0.2">
      <c r="B56" s="36" t="s">
        <v>31</v>
      </c>
      <c r="C56" s="37">
        <f t="shared" si="6"/>
        <v>1</v>
      </c>
      <c r="D56" s="37">
        <f t="shared" si="7"/>
        <v>5</v>
      </c>
      <c r="E56" s="37">
        <f t="shared" si="8"/>
        <v>9</v>
      </c>
      <c r="F56" s="37" t="str">
        <f t="shared" si="9"/>
        <v>444</v>
      </c>
      <c r="G56" s="37" t="str">
        <f t="shared" si="10"/>
        <v>698</v>
      </c>
      <c r="H56" s="37" t="str">
        <f t="shared" si="11"/>
        <v>6184</v>
      </c>
    </row>
    <row r="57" spans="2:8" outlineLevel="1" x14ac:dyDescent="0.2">
      <c r="B57" s="36" t="s">
        <v>32</v>
      </c>
      <c r="C57" s="37">
        <f t="shared" si="6"/>
        <v>1</v>
      </c>
      <c r="D57" s="37">
        <f t="shared" si="7"/>
        <v>5</v>
      </c>
      <c r="E57" s="37">
        <f t="shared" si="8"/>
        <v>9</v>
      </c>
      <c r="F57" s="37" t="str">
        <f t="shared" si="9"/>
        <v>639</v>
      </c>
      <c r="G57" s="37" t="str">
        <f t="shared" si="10"/>
        <v>771</v>
      </c>
      <c r="H57" s="37" t="str">
        <f t="shared" si="11"/>
        <v>1953</v>
      </c>
    </row>
    <row r="58" spans="2:8" outlineLevel="1" x14ac:dyDescent="0.2">
      <c r="B58" s="36" t="s">
        <v>33</v>
      </c>
      <c r="C58" s="37">
        <f t="shared" si="6"/>
        <v>1</v>
      </c>
      <c r="D58" s="37">
        <f t="shared" si="7"/>
        <v>5</v>
      </c>
      <c r="E58" s="37">
        <f t="shared" si="8"/>
        <v>9</v>
      </c>
      <c r="F58" s="37" t="str">
        <f t="shared" si="9"/>
        <v>761</v>
      </c>
      <c r="G58" s="37" t="str">
        <f t="shared" si="10"/>
        <v>431</v>
      </c>
      <c r="H58" s="37" t="str">
        <f t="shared" si="11"/>
        <v>5462</v>
      </c>
    </row>
    <row r="59" spans="2:8" outlineLevel="1" x14ac:dyDescent="0.2">
      <c r="B59" s="36" t="s">
        <v>34</v>
      </c>
      <c r="C59" s="37">
        <f t="shared" si="6"/>
        <v>1</v>
      </c>
      <c r="D59" s="37">
        <f t="shared" si="7"/>
        <v>5</v>
      </c>
      <c r="E59" s="37">
        <f t="shared" si="8"/>
        <v>9</v>
      </c>
      <c r="F59" s="37" t="str">
        <f t="shared" si="9"/>
        <v>326</v>
      </c>
      <c r="G59" s="37" t="str">
        <f t="shared" si="10"/>
        <v>681</v>
      </c>
      <c r="H59" s="37" t="str">
        <f t="shared" si="11"/>
        <v>5891</v>
      </c>
    </row>
    <row r="60" spans="2:8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Find_Instruction_Send_To_1A">
                <anchor moveWithCells="1" sizeWithCells="1">
                  <from>
                    <xdr:col>4</xdr:col>
                    <xdr:colOff>295275</xdr:colOff>
                    <xdr:row>12</xdr:row>
                    <xdr:rowOff>133350</xdr:rowOff>
                  </from>
                  <to>
                    <xdr:col>5</xdr:col>
                    <xdr:colOff>609600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Find_Instruction_Send_To_2A">
                <anchor moveWithCells="1" sizeWithCells="1">
                  <from>
                    <xdr:col>6</xdr:col>
                    <xdr:colOff>352425</xdr:colOff>
                    <xdr:row>33</xdr:row>
                    <xdr:rowOff>38100</xdr:rowOff>
                  </from>
                  <to>
                    <xdr:col>7</xdr:col>
                    <xdr:colOff>676275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Find_Instruction_Send_To_2B">
                <anchor moveWithCells="1" sizeWithCells="1">
                  <from>
                    <xdr:col>8</xdr:col>
                    <xdr:colOff>247650</xdr:colOff>
                    <xdr:row>51</xdr:row>
                    <xdr:rowOff>180975</xdr:rowOff>
                  </from>
                  <to>
                    <xdr:col>11</xdr:col>
                    <xdr:colOff>295275</xdr:colOff>
                    <xdr:row>54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40"/>
  <sheetViews>
    <sheetView showGridLines="0" topLeftCell="A28" zoomScale="80" workbookViewId="0">
      <selection activeCell="H41" sqref="H41"/>
    </sheetView>
  </sheetViews>
  <sheetFormatPr defaultColWidth="9.33203125" defaultRowHeight="12.75" outlineLevelRow="1" x14ac:dyDescent="0.2"/>
  <cols>
    <col min="1" max="1" width="9.33203125" style="2"/>
    <col min="2" max="6" width="29.6640625" style="2" customWidth="1"/>
    <col min="7" max="8" width="24.83203125" style="2" customWidth="1"/>
    <col min="9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136</v>
      </c>
    </row>
    <row r="10" spans="1:16" outlineLevel="1" x14ac:dyDescent="0.2">
      <c r="B10" s="2" t="s">
        <v>146</v>
      </c>
    </row>
    <row r="11" spans="1:16" outlineLevel="1" x14ac:dyDescent="0.2"/>
    <row r="12" spans="1:16" s="39" customFormat="1" ht="20.25" customHeight="1" outlineLevel="1" x14ac:dyDescent="0.2">
      <c r="B12" s="45" t="s">
        <v>49</v>
      </c>
      <c r="C12" s="45" t="s">
        <v>129</v>
      </c>
      <c r="D12" s="45" t="s">
        <v>50</v>
      </c>
      <c r="E12" s="45" t="s">
        <v>130</v>
      </c>
    </row>
    <row r="13" spans="1:16" s="39" customFormat="1" ht="20.25" customHeight="1" outlineLevel="1" x14ac:dyDescent="0.2">
      <c r="B13" s="46" t="s">
        <v>42</v>
      </c>
      <c r="C13" s="46" t="s">
        <v>126</v>
      </c>
      <c r="D13" s="47" t="str">
        <f>PROPER(B13)</f>
        <v>Manaus</v>
      </c>
      <c r="E13" s="47" t="str">
        <f>CONCATENATE(D13,", ",C13)</f>
        <v>Manaus, Brazil</v>
      </c>
    </row>
    <row r="14" spans="1:16" s="39" customFormat="1" ht="20.25" customHeight="1" outlineLevel="1" x14ac:dyDescent="0.2">
      <c r="B14" s="46" t="s">
        <v>47</v>
      </c>
      <c r="C14" s="46" t="s">
        <v>126</v>
      </c>
      <c r="D14" s="47" t="str">
        <f t="shared" ref="D14:D20" si="0">PROPER(B14)</f>
        <v>Campina Grande</v>
      </c>
      <c r="E14" s="47" t="str">
        <f t="shared" ref="E14:E20" si="1">CONCATENATE(D14,", ",C14)</f>
        <v>Campina Grande, Brazil</v>
      </c>
    </row>
    <row r="15" spans="1:16" s="39" customFormat="1" ht="20.25" customHeight="1" outlineLevel="1" x14ac:dyDescent="0.2">
      <c r="B15" s="46" t="s">
        <v>48</v>
      </c>
      <c r="C15" s="46" t="s">
        <v>127</v>
      </c>
      <c r="D15" s="47" t="str">
        <f t="shared" si="0"/>
        <v>Natal</v>
      </c>
      <c r="E15" s="47" t="str">
        <f t="shared" si="1"/>
        <v>Natal, South Africa</v>
      </c>
    </row>
    <row r="16" spans="1:16" s="39" customFormat="1" ht="20.25" customHeight="1" outlineLevel="1" x14ac:dyDescent="0.2">
      <c r="B16" s="46" t="s">
        <v>43</v>
      </c>
      <c r="C16" s="46" t="s">
        <v>126</v>
      </c>
      <c r="D16" s="47" t="str">
        <f t="shared" si="0"/>
        <v>Belém</v>
      </c>
      <c r="E16" s="47" t="str">
        <f t="shared" si="1"/>
        <v>Belém, Brazil</v>
      </c>
    </row>
    <row r="17" spans="2:6" s="39" customFormat="1" ht="20.25" customHeight="1" outlineLevel="1" x14ac:dyDescent="0.2">
      <c r="B17" s="46" t="s">
        <v>46</v>
      </c>
      <c r="C17" s="46" t="s">
        <v>126</v>
      </c>
      <c r="D17" s="47" t="str">
        <f t="shared" si="0"/>
        <v>João Pessoa</v>
      </c>
      <c r="E17" s="47" t="str">
        <f t="shared" si="1"/>
        <v>João Pessoa, Brazil</v>
      </c>
    </row>
    <row r="18" spans="2:6" s="39" customFormat="1" ht="20.25" customHeight="1" outlineLevel="1" x14ac:dyDescent="0.2">
      <c r="B18" s="46" t="s">
        <v>44</v>
      </c>
      <c r="C18" s="46" t="s">
        <v>126</v>
      </c>
      <c r="D18" s="47" t="str">
        <f t="shared" si="0"/>
        <v>Fortaleza</v>
      </c>
      <c r="E18" s="47" t="str">
        <f t="shared" si="1"/>
        <v>Fortaleza, Brazil</v>
      </c>
    </row>
    <row r="19" spans="2:6" s="39" customFormat="1" ht="20.25" customHeight="1" outlineLevel="1" x14ac:dyDescent="0.2">
      <c r="B19" s="46" t="s">
        <v>41</v>
      </c>
      <c r="C19" s="46" t="s">
        <v>126</v>
      </c>
      <c r="D19" s="47" t="str">
        <f t="shared" si="0"/>
        <v>Castanhal</v>
      </c>
      <c r="E19" s="47" t="str">
        <f t="shared" si="1"/>
        <v>Castanhal, Brazil</v>
      </c>
    </row>
    <row r="20" spans="2:6" s="39" customFormat="1" ht="20.25" customHeight="1" outlineLevel="1" x14ac:dyDescent="0.2">
      <c r="B20" s="46" t="s">
        <v>45</v>
      </c>
      <c r="C20" s="46" t="s">
        <v>128</v>
      </c>
      <c r="D20" s="47" t="str">
        <f t="shared" si="0"/>
        <v>Maranguape</v>
      </c>
      <c r="E20" s="47" t="str">
        <f t="shared" si="1"/>
        <v>Maranguape, Ceará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121</v>
      </c>
    </row>
    <row r="28" spans="2:6" ht="18.75" outlineLevel="1" x14ac:dyDescent="0.3">
      <c r="B28" s="4"/>
    </row>
    <row r="29" spans="2:6" outlineLevel="1" x14ac:dyDescent="0.2">
      <c r="B29" s="2" t="s">
        <v>131</v>
      </c>
    </row>
    <row r="30" spans="2:6" outlineLevel="1" x14ac:dyDescent="0.2">
      <c r="B30" s="2" t="s">
        <v>66</v>
      </c>
    </row>
    <row r="31" spans="2:6" outlineLevel="1" x14ac:dyDescent="0.2"/>
    <row r="32" spans="2:6" s="48" customFormat="1" ht="18.75" customHeight="1" outlineLevel="1" x14ac:dyDescent="0.2">
      <c r="B32" s="45" t="s">
        <v>51</v>
      </c>
      <c r="C32" s="45" t="s">
        <v>52</v>
      </c>
      <c r="D32" s="45" t="s">
        <v>51</v>
      </c>
      <c r="E32" s="45" t="s">
        <v>52</v>
      </c>
      <c r="F32" s="45" t="s">
        <v>65</v>
      </c>
    </row>
    <row r="33" spans="2:6" s="48" customFormat="1" ht="18.75" customHeight="1" outlineLevel="1" x14ac:dyDescent="0.2">
      <c r="B33" s="46" t="s">
        <v>53</v>
      </c>
      <c r="C33" s="46" t="s">
        <v>54</v>
      </c>
      <c r="D33" s="47" t="str">
        <f>PROPER(B33)</f>
        <v>Eric</v>
      </c>
      <c r="E33" s="47" t="str">
        <f>PROPER(C33)</f>
        <v>Johnson</v>
      </c>
      <c r="F33" s="47" t="str">
        <f>CONCATENATE(D33," ",E33)</f>
        <v>Eric Johnson</v>
      </c>
    </row>
    <row r="34" spans="2:6" s="48" customFormat="1" ht="18.75" customHeight="1" outlineLevel="1" x14ac:dyDescent="0.2">
      <c r="B34" s="46" t="s">
        <v>55</v>
      </c>
      <c r="C34" s="46" t="s">
        <v>56</v>
      </c>
      <c r="D34" s="47" t="str">
        <f t="shared" ref="D34:D38" si="2">PROPER(B34)</f>
        <v>John</v>
      </c>
      <c r="E34" s="47" t="str">
        <f t="shared" ref="E34:E38" si="3">PROPER(C34)</f>
        <v>Smith</v>
      </c>
      <c r="F34" s="47" t="str">
        <f t="shared" ref="F34:F38" si="4">CONCATENATE(D34," ",E34)</f>
        <v>John Smith</v>
      </c>
    </row>
    <row r="35" spans="2:6" s="48" customFormat="1" ht="18.75" customHeight="1" outlineLevel="1" x14ac:dyDescent="0.2">
      <c r="B35" s="46" t="s">
        <v>57</v>
      </c>
      <c r="C35" s="46" t="s">
        <v>58</v>
      </c>
      <c r="D35" s="47" t="str">
        <f t="shared" si="2"/>
        <v>Beth</v>
      </c>
      <c r="E35" s="47" t="str">
        <f t="shared" si="3"/>
        <v>Summers</v>
      </c>
      <c r="F35" s="47" t="str">
        <f t="shared" si="4"/>
        <v>Beth Summers</v>
      </c>
    </row>
    <row r="36" spans="2:6" s="48" customFormat="1" ht="18.75" customHeight="1" outlineLevel="1" x14ac:dyDescent="0.2">
      <c r="B36" s="46" t="s">
        <v>59</v>
      </c>
      <c r="C36" s="46" t="s">
        <v>60</v>
      </c>
      <c r="D36" s="47" t="str">
        <f t="shared" si="2"/>
        <v>Miles</v>
      </c>
      <c r="E36" s="47" t="str">
        <f t="shared" si="3"/>
        <v>Peterson</v>
      </c>
      <c r="F36" s="47" t="str">
        <f t="shared" si="4"/>
        <v>Miles Peterson</v>
      </c>
    </row>
    <row r="37" spans="2:6" s="48" customFormat="1" ht="18.75" customHeight="1" outlineLevel="1" x14ac:dyDescent="0.2">
      <c r="B37" s="46" t="s">
        <v>61</v>
      </c>
      <c r="C37" s="46" t="s">
        <v>62</v>
      </c>
      <c r="D37" s="47" t="str">
        <f t="shared" si="2"/>
        <v>Jenna</v>
      </c>
      <c r="E37" s="47" t="str">
        <f t="shared" si="3"/>
        <v>Stone</v>
      </c>
      <c r="F37" s="47" t="str">
        <f t="shared" si="4"/>
        <v>Jenna Stone</v>
      </c>
    </row>
    <row r="38" spans="2:6" s="48" customFormat="1" ht="18.75" customHeight="1" outlineLevel="1" x14ac:dyDescent="0.2">
      <c r="B38" s="46" t="s">
        <v>63</v>
      </c>
      <c r="C38" s="46" t="s">
        <v>64</v>
      </c>
      <c r="D38" s="47" t="str">
        <f t="shared" si="2"/>
        <v>Quinn</v>
      </c>
      <c r="E38" s="47" t="str">
        <f t="shared" si="3"/>
        <v>Cook</v>
      </c>
      <c r="F38" s="47" t="str">
        <f t="shared" si="4"/>
        <v>Quinn Cook</v>
      </c>
    </row>
    <row r="39" spans="2:6" outlineLevel="1" x14ac:dyDescent="0.2">
      <c r="B39" s="8"/>
      <c r="C39" s="8"/>
      <c r="D39" s="8"/>
      <c r="E39" s="8"/>
      <c r="F39" s="8"/>
    </row>
    <row r="40" spans="2:6" x14ac:dyDescent="0.2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rop_Send_To_1A">
                <anchor moveWithCells="1" sizeWithCells="1">
                  <from>
                    <xdr:col>1</xdr:col>
                    <xdr:colOff>238125</xdr:colOff>
                    <xdr:row>20</xdr:row>
                    <xdr:rowOff>142875</xdr:rowOff>
                  </from>
                  <to>
                    <xdr:col>2</xdr:col>
                    <xdr:colOff>552450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Prop_Send_To_1B">
                <anchor moveWithCells="1" sizeWithCells="1">
                  <from>
                    <xdr:col>6</xdr:col>
                    <xdr:colOff>209550</xdr:colOff>
                    <xdr:row>32</xdr:row>
                    <xdr:rowOff>28575</xdr:rowOff>
                  </from>
                  <to>
                    <xdr:col>7</xdr:col>
                    <xdr:colOff>523875</xdr:colOff>
                    <xdr:row>35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5"/>
  </sheetPr>
  <dimension ref="A1:P40"/>
  <sheetViews>
    <sheetView showGridLines="0" zoomScale="80" workbookViewId="0">
      <selection activeCell="G32" sqref="G32"/>
    </sheetView>
  </sheetViews>
  <sheetFormatPr defaultColWidth="9.33203125" defaultRowHeight="12.75" outlineLevelRow="1" x14ac:dyDescent="0.2"/>
  <cols>
    <col min="1" max="1" width="9.33203125" style="2"/>
    <col min="2" max="8" width="24.83203125" style="2" customWidth="1"/>
    <col min="9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136</v>
      </c>
    </row>
    <row r="10" spans="1:16" outlineLevel="1" x14ac:dyDescent="0.2">
      <c r="B10" s="2" t="s">
        <v>146</v>
      </c>
    </row>
    <row r="11" spans="1:16" outlineLevel="1" x14ac:dyDescent="0.2"/>
    <row r="12" spans="1:16" outlineLevel="1" x14ac:dyDescent="0.2">
      <c r="B12" s="32" t="s">
        <v>49</v>
      </c>
      <c r="C12" s="32" t="s">
        <v>129</v>
      </c>
      <c r="D12" s="32" t="s">
        <v>50</v>
      </c>
      <c r="E12" s="32" t="s">
        <v>130</v>
      </c>
    </row>
    <row r="13" spans="1:16" outlineLevel="1" x14ac:dyDescent="0.2">
      <c r="B13" s="33" t="s">
        <v>42</v>
      </c>
      <c r="C13" s="33" t="s">
        <v>126</v>
      </c>
      <c r="D13" s="34" t="str">
        <f>PROPER(B13)</f>
        <v>Manaus</v>
      </c>
      <c r="E13" s="34" t="str">
        <f>CONCATENATE(D13,", ",C13)</f>
        <v>Manaus, Brazil</v>
      </c>
    </row>
    <row r="14" spans="1:16" outlineLevel="1" x14ac:dyDescent="0.2">
      <c r="B14" s="33" t="s">
        <v>47</v>
      </c>
      <c r="C14" s="33" t="s">
        <v>126</v>
      </c>
      <c r="D14" s="34" t="str">
        <f t="shared" ref="D14:D20" si="0">PROPER(B14)</f>
        <v>Campina Grande</v>
      </c>
      <c r="E14" s="34" t="str">
        <f t="shared" ref="E14:E20" si="1">CONCATENATE(D14,", ",C14)</f>
        <v>Campina Grande, Brazil</v>
      </c>
    </row>
    <row r="15" spans="1:16" outlineLevel="1" x14ac:dyDescent="0.2">
      <c r="B15" s="33" t="s">
        <v>48</v>
      </c>
      <c r="C15" s="33" t="s">
        <v>127</v>
      </c>
      <c r="D15" s="34" t="str">
        <f t="shared" si="0"/>
        <v>Natal</v>
      </c>
      <c r="E15" s="34" t="str">
        <f t="shared" si="1"/>
        <v>Natal, South Africa</v>
      </c>
    </row>
    <row r="16" spans="1:16" outlineLevel="1" x14ac:dyDescent="0.2">
      <c r="B16" s="33" t="s">
        <v>43</v>
      </c>
      <c r="C16" s="33" t="s">
        <v>126</v>
      </c>
      <c r="D16" s="34" t="str">
        <f t="shared" si="0"/>
        <v>Belém</v>
      </c>
      <c r="E16" s="34" t="str">
        <f t="shared" si="1"/>
        <v>Belém, Brazil</v>
      </c>
    </row>
    <row r="17" spans="2:6" outlineLevel="1" x14ac:dyDescent="0.2">
      <c r="B17" s="33" t="s">
        <v>46</v>
      </c>
      <c r="C17" s="33" t="s">
        <v>126</v>
      </c>
      <c r="D17" s="34" t="str">
        <f t="shared" si="0"/>
        <v>João Pessoa</v>
      </c>
      <c r="E17" s="34" t="str">
        <f t="shared" si="1"/>
        <v>João Pessoa, Brazil</v>
      </c>
    </row>
    <row r="18" spans="2:6" outlineLevel="1" x14ac:dyDescent="0.2">
      <c r="B18" s="33" t="s">
        <v>44</v>
      </c>
      <c r="C18" s="33" t="s">
        <v>126</v>
      </c>
      <c r="D18" s="34" t="str">
        <f t="shared" si="0"/>
        <v>Fortaleza</v>
      </c>
      <c r="E18" s="34" t="str">
        <f t="shared" si="1"/>
        <v>Fortaleza, Brazil</v>
      </c>
    </row>
    <row r="19" spans="2:6" outlineLevel="1" x14ac:dyDescent="0.2">
      <c r="B19" s="33" t="s">
        <v>41</v>
      </c>
      <c r="C19" s="33" t="s">
        <v>126</v>
      </c>
      <c r="D19" s="34" t="str">
        <f t="shared" si="0"/>
        <v>Castanhal</v>
      </c>
      <c r="E19" s="34" t="str">
        <f t="shared" si="1"/>
        <v>Castanhal, Brazil</v>
      </c>
    </row>
    <row r="20" spans="2:6" outlineLevel="1" x14ac:dyDescent="0.2">
      <c r="B20" s="33" t="s">
        <v>45</v>
      </c>
      <c r="C20" s="33" t="s">
        <v>128</v>
      </c>
      <c r="D20" s="34" t="str">
        <f t="shared" si="0"/>
        <v>Maranguape</v>
      </c>
      <c r="E20" s="34" t="str">
        <f t="shared" si="1"/>
        <v>Maranguape, Ceará</v>
      </c>
    </row>
    <row r="21" spans="2:6" outlineLevel="1" x14ac:dyDescent="0.2"/>
    <row r="22" spans="2:6" outlineLevel="1" x14ac:dyDescent="0.2"/>
    <row r="23" spans="2:6" outlineLevel="1" x14ac:dyDescent="0.2">
      <c r="B23" s="6"/>
    </row>
    <row r="24" spans="2:6" outlineLevel="1" x14ac:dyDescent="0.2">
      <c r="B24" s="7"/>
    </row>
    <row r="25" spans="2:6" outlineLevel="1" x14ac:dyDescent="0.2"/>
    <row r="26" spans="2:6" outlineLevel="1" x14ac:dyDescent="0.2"/>
    <row r="27" spans="2:6" ht="18.75" x14ac:dyDescent="0.3">
      <c r="B27" s="4" t="s">
        <v>121</v>
      </c>
    </row>
    <row r="28" spans="2:6" ht="18.75" outlineLevel="1" x14ac:dyDescent="0.3">
      <c r="B28" s="4"/>
    </row>
    <row r="29" spans="2:6" outlineLevel="1" x14ac:dyDescent="0.2">
      <c r="B29" s="2" t="s">
        <v>131</v>
      </c>
    </row>
    <row r="30" spans="2:6" outlineLevel="1" x14ac:dyDescent="0.2">
      <c r="B30" s="2" t="s">
        <v>66</v>
      </c>
    </row>
    <row r="31" spans="2:6" outlineLevel="1" x14ac:dyDescent="0.2"/>
    <row r="32" spans="2:6" outlineLevel="1" x14ac:dyDescent="0.2">
      <c r="B32" s="32" t="s">
        <v>51</v>
      </c>
      <c r="C32" s="32" t="s">
        <v>52</v>
      </c>
      <c r="D32" s="32" t="s">
        <v>51</v>
      </c>
      <c r="E32" s="32" t="s">
        <v>52</v>
      </c>
      <c r="F32" s="32" t="s">
        <v>65</v>
      </c>
    </row>
    <row r="33" spans="2:6" outlineLevel="1" x14ac:dyDescent="0.2">
      <c r="B33" s="33" t="s">
        <v>53</v>
      </c>
      <c r="C33" s="33" t="s">
        <v>54</v>
      </c>
      <c r="D33" s="34" t="str">
        <f>PROPER(B33)</f>
        <v>Eric</v>
      </c>
      <c r="E33" s="34" t="str">
        <f>PROPER(C33)</f>
        <v>Johnson</v>
      </c>
      <c r="F33" s="34" t="str">
        <f>CONCATENATE(D33,", ",E33)</f>
        <v>Eric, Johnson</v>
      </c>
    </row>
    <row r="34" spans="2:6" outlineLevel="1" x14ac:dyDescent="0.2">
      <c r="B34" s="33" t="s">
        <v>55</v>
      </c>
      <c r="C34" s="33" t="s">
        <v>56</v>
      </c>
      <c r="D34" s="34" t="str">
        <f t="shared" ref="D34:D38" si="2">PROPER(B34)</f>
        <v>John</v>
      </c>
      <c r="E34" s="34" t="str">
        <f t="shared" ref="E34:E38" si="3">PROPER(C34)</f>
        <v>Smith</v>
      </c>
      <c r="F34" s="34" t="str">
        <f t="shared" ref="F34:F38" si="4">CONCATENATE(D34,", ",E34)</f>
        <v>John, Smith</v>
      </c>
    </row>
    <row r="35" spans="2:6" outlineLevel="1" x14ac:dyDescent="0.2">
      <c r="B35" s="33" t="s">
        <v>57</v>
      </c>
      <c r="C35" s="33" t="s">
        <v>58</v>
      </c>
      <c r="D35" s="34" t="str">
        <f t="shared" si="2"/>
        <v>Beth</v>
      </c>
      <c r="E35" s="34" t="str">
        <f t="shared" si="3"/>
        <v>Summers</v>
      </c>
      <c r="F35" s="34" t="str">
        <f t="shared" si="4"/>
        <v>Beth, Summers</v>
      </c>
    </row>
    <row r="36" spans="2:6" outlineLevel="1" x14ac:dyDescent="0.2">
      <c r="B36" s="33" t="s">
        <v>59</v>
      </c>
      <c r="C36" s="33" t="s">
        <v>60</v>
      </c>
      <c r="D36" s="34" t="str">
        <f t="shared" si="2"/>
        <v>Miles</v>
      </c>
      <c r="E36" s="34" t="str">
        <f t="shared" si="3"/>
        <v>Peterson</v>
      </c>
      <c r="F36" s="34" t="str">
        <f t="shared" si="4"/>
        <v>Miles, Peterson</v>
      </c>
    </row>
    <row r="37" spans="2:6" outlineLevel="1" x14ac:dyDescent="0.2">
      <c r="B37" s="33" t="s">
        <v>61</v>
      </c>
      <c r="C37" s="33" t="s">
        <v>62</v>
      </c>
      <c r="D37" s="34" t="str">
        <f t="shared" si="2"/>
        <v>Jenna</v>
      </c>
      <c r="E37" s="34" t="str">
        <f t="shared" si="3"/>
        <v>Stone</v>
      </c>
      <c r="F37" s="34" t="str">
        <f t="shared" si="4"/>
        <v>Jenna, Stone</v>
      </c>
    </row>
    <row r="38" spans="2:6" outlineLevel="1" x14ac:dyDescent="0.2">
      <c r="B38" s="33" t="s">
        <v>63</v>
      </c>
      <c r="C38" s="33" t="s">
        <v>64</v>
      </c>
      <c r="D38" s="34" t="str">
        <f t="shared" si="2"/>
        <v>Quinn</v>
      </c>
      <c r="E38" s="34" t="str">
        <f t="shared" si="3"/>
        <v>Cook</v>
      </c>
      <c r="F38" s="34" t="str">
        <f t="shared" si="4"/>
        <v>Quinn, Cook</v>
      </c>
    </row>
    <row r="39" spans="2:6" outlineLevel="1" x14ac:dyDescent="0.2">
      <c r="B39" s="8"/>
      <c r="C39" s="8"/>
      <c r="D39" s="8"/>
      <c r="E39" s="8"/>
      <c r="F39" s="8"/>
    </row>
    <row r="40" spans="2:6" x14ac:dyDescent="0.2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Prop_Instruction_Send_To_1A">
                <anchor moveWithCells="1" sizeWithCells="1">
                  <from>
                    <xdr:col>1</xdr:col>
                    <xdr:colOff>19050</xdr:colOff>
                    <xdr:row>20</xdr:row>
                    <xdr:rowOff>76200</xdr:rowOff>
                  </from>
                  <to>
                    <xdr:col>2</xdr:col>
                    <xdr:colOff>333375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Prop_Instruction_Send_To_1B">
                <anchor moveWithCells="1" sizeWithCells="1">
                  <from>
                    <xdr:col>6</xdr:col>
                    <xdr:colOff>323850</xdr:colOff>
                    <xdr:row>32</xdr:row>
                    <xdr:rowOff>9525</xdr:rowOff>
                  </from>
                  <to>
                    <xdr:col>7</xdr:col>
                    <xdr:colOff>638175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63"/>
  <sheetViews>
    <sheetView showGridLines="0" tabSelected="1" topLeftCell="A18" zoomScale="80" workbookViewId="0">
      <selection activeCell="E60" sqref="E60"/>
    </sheetView>
  </sheetViews>
  <sheetFormatPr defaultColWidth="9.33203125" defaultRowHeight="12.75" outlineLevelRow="1" x14ac:dyDescent="0.2"/>
  <cols>
    <col min="1" max="1" width="9.33203125" style="2"/>
    <col min="2" max="2" width="20.83203125" style="2" customWidth="1"/>
    <col min="3" max="3" width="27.33203125" style="2" customWidth="1"/>
    <col min="4" max="4" width="30.83203125" style="2" customWidth="1"/>
    <col min="5" max="5" width="29.1640625" style="2" customWidth="1"/>
    <col min="6" max="6" width="30.33203125" style="2" customWidth="1"/>
    <col min="7" max="7" width="31.6640625" style="2" customWidth="1"/>
    <col min="8" max="8" width="18.5" style="2" customWidth="1"/>
    <col min="9" max="9" width="22.83203125" style="2" bestFit="1" customWidth="1"/>
    <col min="10" max="10" width="2.5" style="2" customWidth="1"/>
    <col min="11" max="11" width="30.1640625" style="2" customWidth="1"/>
    <col min="12" max="12" width="17.6640625" style="2" bestFit="1" customWidth="1"/>
    <col min="13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114</v>
      </c>
    </row>
    <row r="10" spans="1:16" outlineLevel="1" x14ac:dyDescent="0.2">
      <c r="B10" s="2" t="s">
        <v>111</v>
      </c>
    </row>
    <row r="11" spans="1:16" outlineLevel="1" x14ac:dyDescent="0.2"/>
    <row r="12" spans="1:16" outlineLevel="1" x14ac:dyDescent="0.2">
      <c r="B12" s="32" t="s">
        <v>67</v>
      </c>
      <c r="C12" s="32" t="s">
        <v>68</v>
      </c>
      <c r="D12" s="32" t="s">
        <v>69</v>
      </c>
      <c r="E12" s="32" t="s">
        <v>70</v>
      </c>
      <c r="F12" s="32" t="s">
        <v>71</v>
      </c>
    </row>
    <row r="13" spans="1:16" outlineLevel="1" x14ac:dyDescent="0.2">
      <c r="B13" s="13">
        <v>42535</v>
      </c>
      <c r="C13" s="14">
        <f t="shared" ref="C13:C23" si="0">VALUE(MONTH(B13))</f>
        <v>6</v>
      </c>
      <c r="D13" s="15">
        <v>208</v>
      </c>
      <c r="E13" s="16">
        <v>14.5</v>
      </c>
      <c r="F13" s="17">
        <f t="shared" ref="F13:F23" si="1">E13*D13</f>
        <v>3016</v>
      </c>
    </row>
    <row r="14" spans="1:16" outlineLevel="1" x14ac:dyDescent="0.2">
      <c r="B14" s="13">
        <v>42553</v>
      </c>
      <c r="C14" s="14">
        <f t="shared" si="0"/>
        <v>7</v>
      </c>
      <c r="D14" s="15">
        <v>197</v>
      </c>
      <c r="E14" s="16">
        <v>14.5</v>
      </c>
      <c r="F14" s="17">
        <f t="shared" si="1"/>
        <v>2856.5</v>
      </c>
    </row>
    <row r="15" spans="1:16" outlineLevel="1" x14ac:dyDescent="0.2">
      <c r="B15" s="13">
        <v>42536</v>
      </c>
      <c r="C15" s="14">
        <f t="shared" si="0"/>
        <v>6</v>
      </c>
      <c r="D15" s="15">
        <v>176</v>
      </c>
      <c r="E15" s="16">
        <v>14.5</v>
      </c>
      <c r="F15" s="17">
        <f t="shared" si="1"/>
        <v>2552</v>
      </c>
    </row>
    <row r="16" spans="1:16" outlineLevel="1" x14ac:dyDescent="0.2">
      <c r="B16" s="13">
        <v>42531</v>
      </c>
      <c r="C16" s="14">
        <f t="shared" si="0"/>
        <v>6</v>
      </c>
      <c r="D16" s="15">
        <v>168</v>
      </c>
      <c r="E16" s="16">
        <v>14.5</v>
      </c>
      <c r="F16" s="17">
        <f t="shared" si="1"/>
        <v>2436</v>
      </c>
    </row>
    <row r="17" spans="2:6" outlineLevel="1" x14ac:dyDescent="0.2">
      <c r="B17" s="13">
        <v>42536</v>
      </c>
      <c r="C17" s="14">
        <f t="shared" si="0"/>
        <v>6</v>
      </c>
      <c r="D17" s="15">
        <v>166</v>
      </c>
      <c r="E17" s="16">
        <v>14.5</v>
      </c>
      <c r="F17" s="17">
        <f t="shared" si="1"/>
        <v>2407</v>
      </c>
    </row>
    <row r="18" spans="2:6" outlineLevel="1" x14ac:dyDescent="0.2">
      <c r="B18" s="13">
        <v>42539</v>
      </c>
      <c r="C18" s="14">
        <f t="shared" si="0"/>
        <v>6</v>
      </c>
      <c r="D18" s="15">
        <v>157</v>
      </c>
      <c r="E18" s="16">
        <v>14.5</v>
      </c>
      <c r="F18" s="17">
        <f t="shared" si="1"/>
        <v>2276.5</v>
      </c>
    </row>
    <row r="19" spans="2:6" outlineLevel="1" x14ac:dyDescent="0.2">
      <c r="B19" s="13">
        <v>42545</v>
      </c>
      <c r="C19" s="14">
        <f t="shared" si="0"/>
        <v>6</v>
      </c>
      <c r="D19" s="15">
        <v>142</v>
      </c>
      <c r="E19" s="16">
        <v>14.5</v>
      </c>
      <c r="F19" s="17">
        <f t="shared" si="1"/>
        <v>2059</v>
      </c>
    </row>
    <row r="20" spans="2:6" outlineLevel="1" x14ac:dyDescent="0.2">
      <c r="B20" s="13">
        <v>42535</v>
      </c>
      <c r="C20" s="14">
        <f t="shared" si="0"/>
        <v>6</v>
      </c>
      <c r="D20" s="15">
        <v>193</v>
      </c>
      <c r="E20" s="16">
        <v>9.99</v>
      </c>
      <c r="F20" s="17">
        <f t="shared" si="1"/>
        <v>1928.07</v>
      </c>
    </row>
    <row r="21" spans="2:6" outlineLevel="1" x14ac:dyDescent="0.2">
      <c r="B21" s="13">
        <v>42538</v>
      </c>
      <c r="C21" s="14">
        <f t="shared" si="0"/>
        <v>6</v>
      </c>
      <c r="D21" s="15">
        <v>205</v>
      </c>
      <c r="E21" s="16">
        <v>9</v>
      </c>
      <c r="F21" s="17">
        <f t="shared" si="1"/>
        <v>1845</v>
      </c>
    </row>
    <row r="22" spans="2:6" outlineLevel="1" x14ac:dyDescent="0.2">
      <c r="B22" s="13">
        <v>42538</v>
      </c>
      <c r="C22" s="14">
        <f t="shared" si="0"/>
        <v>6</v>
      </c>
      <c r="D22" s="15">
        <v>199</v>
      </c>
      <c r="E22" s="16">
        <v>9</v>
      </c>
      <c r="F22" s="17">
        <f t="shared" si="1"/>
        <v>1791</v>
      </c>
    </row>
    <row r="23" spans="2:6" outlineLevel="1" x14ac:dyDescent="0.2">
      <c r="B23" s="13">
        <v>42534</v>
      </c>
      <c r="C23" s="14">
        <f t="shared" si="0"/>
        <v>6</v>
      </c>
      <c r="D23" s="15">
        <v>188</v>
      </c>
      <c r="E23" s="16">
        <v>9</v>
      </c>
      <c r="F23" s="17">
        <f t="shared" si="1"/>
        <v>1692</v>
      </c>
    </row>
    <row r="24" spans="2:6" outlineLevel="1" x14ac:dyDescent="0.2">
      <c r="B24"/>
    </row>
    <row r="25" spans="2:6" outlineLevel="1" x14ac:dyDescent="0.2">
      <c r="B25"/>
    </row>
    <row r="26" spans="2:6" outlineLevel="1" x14ac:dyDescent="0.2">
      <c r="B26"/>
    </row>
    <row r="27" spans="2:6" outlineLevel="1" x14ac:dyDescent="0.2">
      <c r="B27"/>
    </row>
    <row r="28" spans="2:6" s="58" customFormat="1" ht="16.5" outlineLevel="1" x14ac:dyDescent="0.2">
      <c r="B28" s="55" t="s">
        <v>67</v>
      </c>
      <c r="C28" s="55" t="s">
        <v>68</v>
      </c>
      <c r="D28" s="56" t="s">
        <v>69</v>
      </c>
      <c r="E28" s="57" t="s">
        <v>70</v>
      </c>
      <c r="F28" s="57" t="s">
        <v>71</v>
      </c>
    </row>
    <row r="29" spans="2:6" s="58" customFormat="1" ht="16.5" outlineLevel="1" x14ac:dyDescent="0.2">
      <c r="B29" s="55" t="s">
        <v>72</v>
      </c>
      <c r="C29" s="55" t="s">
        <v>73</v>
      </c>
      <c r="D29" s="56" t="s">
        <v>73</v>
      </c>
      <c r="E29" s="57" t="s">
        <v>74</v>
      </c>
      <c r="F29" s="57" t="s">
        <v>74</v>
      </c>
    </row>
    <row r="30" spans="2:6" s="58" customFormat="1" ht="17.25" customHeight="1" outlineLevel="1" x14ac:dyDescent="0.2">
      <c r="B30" s="59">
        <v>42536</v>
      </c>
      <c r="C30" s="60"/>
      <c r="D30" s="61"/>
      <c r="E30" s="62"/>
      <c r="F30" s="63"/>
    </row>
    <row r="31" spans="2:6" s="58" customFormat="1" ht="17.25" customHeight="1" outlineLevel="1" x14ac:dyDescent="0.2">
      <c r="B31" s="59"/>
      <c r="C31" s="60"/>
      <c r="D31" s="61"/>
      <c r="E31" s="62"/>
      <c r="F31" s="63"/>
    </row>
    <row r="32" spans="2:6" s="58" customFormat="1" ht="17.25" customHeight="1" outlineLevel="1" x14ac:dyDescent="0.2">
      <c r="B32" s="59"/>
      <c r="C32" s="60"/>
      <c r="D32" s="61"/>
      <c r="E32" s="62"/>
      <c r="F32" s="63"/>
    </row>
    <row r="33" spans="2:7" s="58" customFormat="1" ht="17.25" customHeight="1" outlineLevel="1" x14ac:dyDescent="0.2">
      <c r="B33" s="59"/>
      <c r="C33" s="60"/>
      <c r="D33" s="61"/>
      <c r="E33" s="62"/>
      <c r="F33" s="63"/>
    </row>
    <row r="34" spans="2:7" s="58" customFormat="1" ht="17.25" customHeight="1" outlineLevel="1" x14ac:dyDescent="0.2">
      <c r="B34" s="59"/>
      <c r="C34" s="60"/>
      <c r="D34" s="61"/>
      <c r="E34" s="62"/>
      <c r="F34" s="63"/>
    </row>
    <row r="35" spans="2:7" s="58" customFormat="1" ht="17.25" customHeight="1" outlineLevel="1" x14ac:dyDescent="0.2">
      <c r="B35" s="59"/>
      <c r="C35" s="60"/>
      <c r="D35" s="61"/>
      <c r="E35" s="62"/>
      <c r="F35" s="63"/>
    </row>
    <row r="36" spans="2:7" s="58" customFormat="1" ht="17.25" customHeight="1" outlineLevel="1" x14ac:dyDescent="0.2">
      <c r="B36" s="59"/>
      <c r="C36" s="60"/>
      <c r="D36" s="61"/>
      <c r="E36" s="62"/>
      <c r="F36" s="63"/>
    </row>
    <row r="37" spans="2:7" outlineLevel="1" x14ac:dyDescent="0.2"/>
    <row r="38" spans="2:7" ht="18.75" x14ac:dyDescent="0.3">
      <c r="B38" s="4" t="s">
        <v>121</v>
      </c>
    </row>
    <row r="39" spans="2:7" ht="18.75" outlineLevel="1" x14ac:dyDescent="0.3">
      <c r="B39" s="4"/>
    </row>
    <row r="40" spans="2:7" outlineLevel="1" x14ac:dyDescent="0.2">
      <c r="B40" s="2" t="s">
        <v>110</v>
      </c>
    </row>
    <row r="41" spans="2:7" outlineLevel="1" x14ac:dyDescent="0.2">
      <c r="B41" s="2" t="s">
        <v>75</v>
      </c>
    </row>
    <row r="42" spans="2:7" ht="13.5" customHeight="1" outlineLevel="1" x14ac:dyDescent="0.2"/>
    <row r="43" spans="2:7" s="52" customFormat="1" ht="23.25" customHeight="1" outlineLevel="1" x14ac:dyDescent="0.2">
      <c r="B43" s="64" t="s">
        <v>76</v>
      </c>
      <c r="C43" s="64" t="s">
        <v>77</v>
      </c>
      <c r="D43" s="49" t="s">
        <v>78</v>
      </c>
      <c r="E43" s="49" t="s">
        <v>67</v>
      </c>
      <c r="F43" s="50" t="s">
        <v>69</v>
      </c>
      <c r="G43" s="51" t="s">
        <v>71</v>
      </c>
    </row>
    <row r="44" spans="2:7" s="52" customFormat="1" ht="23.25" customHeight="1" outlineLevel="1" x14ac:dyDescent="0.2">
      <c r="B44" s="65" t="s">
        <v>79</v>
      </c>
      <c r="C44" s="65" t="s">
        <v>80</v>
      </c>
      <c r="D44" s="65" t="s">
        <v>82</v>
      </c>
      <c r="E44" s="53" t="s">
        <v>100</v>
      </c>
      <c r="F44" s="54">
        <v>208</v>
      </c>
      <c r="G44" s="66">
        <v>3016</v>
      </c>
    </row>
    <row r="45" spans="2:7" s="52" customFormat="1" ht="23.25" customHeight="1" outlineLevel="1" x14ac:dyDescent="0.2">
      <c r="B45" s="65" t="s">
        <v>83</v>
      </c>
      <c r="C45" s="65" t="s">
        <v>81</v>
      </c>
      <c r="D45" s="65" t="s">
        <v>84</v>
      </c>
      <c r="E45" s="67" t="s">
        <v>101</v>
      </c>
      <c r="F45" s="54" t="s">
        <v>98</v>
      </c>
      <c r="G45" s="66">
        <v>2856.5</v>
      </c>
    </row>
    <row r="46" spans="2:7" s="52" customFormat="1" ht="23.25" customHeight="1" outlineLevel="1" x14ac:dyDescent="0.2">
      <c r="B46" s="65" t="s">
        <v>85</v>
      </c>
      <c r="C46" s="68" t="s">
        <v>92</v>
      </c>
      <c r="D46" s="65" t="s">
        <v>86</v>
      </c>
      <c r="E46" s="67" t="s">
        <v>102</v>
      </c>
      <c r="F46" s="54" t="s">
        <v>99</v>
      </c>
      <c r="G46" s="66">
        <v>2552</v>
      </c>
    </row>
    <row r="47" spans="2:7" s="52" customFormat="1" ht="23.25" customHeight="1" outlineLevel="1" x14ac:dyDescent="0.2">
      <c r="B47" s="69" t="s">
        <v>87</v>
      </c>
      <c r="C47" s="68" t="s">
        <v>93</v>
      </c>
      <c r="D47" s="65" t="s">
        <v>84</v>
      </c>
      <c r="E47" s="67" t="s">
        <v>103</v>
      </c>
      <c r="F47" s="54">
        <v>168</v>
      </c>
      <c r="G47" s="66">
        <v>2436</v>
      </c>
    </row>
    <row r="48" spans="2:7" s="52" customFormat="1" ht="23.25" customHeight="1" outlineLevel="1" x14ac:dyDescent="0.2">
      <c r="B48" s="65" t="s">
        <v>88</v>
      </c>
      <c r="C48" s="70" t="s">
        <v>95</v>
      </c>
      <c r="D48" s="65" t="s">
        <v>86</v>
      </c>
      <c r="E48" s="67" t="s">
        <v>104</v>
      </c>
      <c r="F48" s="54">
        <v>166</v>
      </c>
      <c r="G48" s="66">
        <v>2407</v>
      </c>
    </row>
    <row r="49" spans="2:12" s="52" customFormat="1" ht="23.25" customHeight="1" outlineLevel="1" x14ac:dyDescent="0.2">
      <c r="B49" s="65" t="s">
        <v>89</v>
      </c>
      <c r="C49" s="70" t="s">
        <v>94</v>
      </c>
      <c r="D49" s="65" t="s">
        <v>82</v>
      </c>
      <c r="E49" s="53" t="s">
        <v>105</v>
      </c>
      <c r="F49" s="54">
        <v>157</v>
      </c>
      <c r="G49" s="66">
        <v>2276.5</v>
      </c>
    </row>
    <row r="50" spans="2:12" s="52" customFormat="1" ht="23.25" customHeight="1" outlineLevel="1" x14ac:dyDescent="0.2">
      <c r="B50" s="65" t="s">
        <v>90</v>
      </c>
      <c r="C50" s="70" t="s">
        <v>96</v>
      </c>
      <c r="D50" s="65" t="s">
        <v>82</v>
      </c>
      <c r="E50" s="53">
        <v>42545</v>
      </c>
      <c r="F50" s="54">
        <v>142</v>
      </c>
      <c r="G50" s="66">
        <v>2059</v>
      </c>
    </row>
    <row r="51" spans="2:12" s="52" customFormat="1" ht="23.25" customHeight="1" outlineLevel="1" x14ac:dyDescent="0.2">
      <c r="B51" s="68" t="s">
        <v>91</v>
      </c>
      <c r="C51" s="68" t="s">
        <v>97</v>
      </c>
      <c r="D51" s="65" t="s">
        <v>86</v>
      </c>
      <c r="E51" s="53">
        <v>42535</v>
      </c>
      <c r="F51" s="54">
        <v>193</v>
      </c>
      <c r="G51" s="66">
        <v>1692</v>
      </c>
    </row>
    <row r="52" spans="2:12" s="52" customFormat="1" ht="23.25" customHeight="1" outlineLevel="1" x14ac:dyDescent="0.2">
      <c r="B52" s="71"/>
    </row>
    <row r="53" spans="2:12" s="52" customFormat="1" ht="23.25" customHeight="1" outlineLevel="1" x14ac:dyDescent="0.2">
      <c r="B53" s="71"/>
    </row>
    <row r="54" spans="2:12" s="52" customFormat="1" ht="23.25" customHeight="1" outlineLevel="1" x14ac:dyDescent="0.2">
      <c r="B54" s="73" t="s">
        <v>76</v>
      </c>
      <c r="C54" s="73" t="s">
        <v>77</v>
      </c>
      <c r="D54" s="74" t="s">
        <v>78</v>
      </c>
      <c r="E54" s="74" t="s">
        <v>67</v>
      </c>
      <c r="F54" s="75" t="s">
        <v>69</v>
      </c>
      <c r="G54" s="74" t="s">
        <v>71</v>
      </c>
    </row>
    <row r="55" spans="2:12" s="52" customFormat="1" ht="23.25" customHeight="1" outlineLevel="1" x14ac:dyDescent="0.2">
      <c r="B55" s="73" t="s">
        <v>106</v>
      </c>
      <c r="C55" s="73" t="s">
        <v>106</v>
      </c>
      <c r="D55" s="74" t="s">
        <v>106</v>
      </c>
      <c r="E55" s="74" t="s">
        <v>72</v>
      </c>
      <c r="F55" s="75" t="s">
        <v>73</v>
      </c>
      <c r="G55" s="74" t="s">
        <v>107</v>
      </c>
      <c r="I55" s="72" t="s">
        <v>108</v>
      </c>
      <c r="J55" s="72"/>
      <c r="K55" s="72" t="s">
        <v>109</v>
      </c>
      <c r="L55" s="72" t="s">
        <v>78</v>
      </c>
    </row>
    <row r="56" spans="2:12" s="52" customFormat="1" ht="23.25" customHeight="1" outlineLevel="1" x14ac:dyDescent="0.2">
      <c r="B56" s="65"/>
      <c r="C56" s="65"/>
      <c r="D56" s="65"/>
      <c r="E56" s="53"/>
      <c r="F56" s="54"/>
      <c r="G56" s="66"/>
      <c r="I56" s="52" t="s">
        <v>79</v>
      </c>
      <c r="K56" s="52" t="s">
        <v>81</v>
      </c>
      <c r="L56" s="52" t="s">
        <v>82</v>
      </c>
    </row>
    <row r="57" spans="2:12" s="52" customFormat="1" ht="23.25" customHeight="1" outlineLevel="1" x14ac:dyDescent="0.2">
      <c r="B57" s="65"/>
      <c r="C57" s="65"/>
      <c r="D57" s="65"/>
      <c r="E57" s="67"/>
      <c r="F57" s="54"/>
      <c r="G57" s="66"/>
      <c r="I57" s="52" t="s">
        <v>83</v>
      </c>
      <c r="K57" s="52" t="s">
        <v>93</v>
      </c>
      <c r="L57" s="52" t="s">
        <v>84</v>
      </c>
    </row>
    <row r="58" spans="2:12" s="52" customFormat="1" ht="23.25" customHeight="1" outlineLevel="1" x14ac:dyDescent="0.2">
      <c r="B58" s="65"/>
      <c r="C58" s="68"/>
      <c r="D58" s="65"/>
      <c r="E58" s="67"/>
      <c r="F58" s="54"/>
      <c r="G58" s="66"/>
      <c r="I58" s="52" t="s">
        <v>85</v>
      </c>
      <c r="K58" s="52" t="s">
        <v>95</v>
      </c>
    </row>
    <row r="59" spans="2:12" s="52" customFormat="1" ht="23.25" customHeight="1" outlineLevel="1" x14ac:dyDescent="0.2">
      <c r="B59" s="69"/>
      <c r="C59" s="68"/>
      <c r="D59" s="65"/>
      <c r="E59" s="67"/>
      <c r="F59" s="54"/>
      <c r="G59" s="66"/>
      <c r="I59" s="52" t="s">
        <v>87</v>
      </c>
      <c r="K59" s="52" t="s">
        <v>97</v>
      </c>
    </row>
    <row r="60" spans="2:12" s="52" customFormat="1" ht="23.25" customHeight="1" outlineLevel="1" x14ac:dyDescent="0.2">
      <c r="B60" s="65"/>
      <c r="C60" s="70"/>
      <c r="D60" s="65"/>
      <c r="E60" s="67"/>
      <c r="F60" s="54"/>
      <c r="G60" s="66"/>
      <c r="I60" s="52" t="s">
        <v>88</v>
      </c>
    </row>
    <row r="61" spans="2:12" s="52" customFormat="1" ht="23.25" customHeight="1" outlineLevel="1" x14ac:dyDescent="0.2">
      <c r="B61" s="65"/>
      <c r="C61" s="70"/>
      <c r="D61" s="65"/>
      <c r="E61" s="53"/>
      <c r="F61" s="54"/>
      <c r="G61" s="66"/>
      <c r="I61" s="52" t="s">
        <v>89</v>
      </c>
    </row>
    <row r="62" spans="2:12" s="52" customFormat="1" ht="23.25" customHeight="1" outlineLevel="1" x14ac:dyDescent="0.2">
      <c r="B62" s="65"/>
      <c r="C62" s="70"/>
      <c r="D62" s="65"/>
      <c r="E62" s="53"/>
      <c r="F62" s="54"/>
      <c r="G62" s="66"/>
      <c r="I62" s="52" t="s">
        <v>90</v>
      </c>
    </row>
    <row r="63" spans="2:12" s="52" customFormat="1" ht="23.25" customHeight="1" outlineLevel="1" x14ac:dyDescent="0.2">
      <c r="B63" s="68"/>
      <c r="C63" s="68"/>
      <c r="D63" s="65"/>
      <c r="E63" s="53"/>
      <c r="F63" s="54"/>
      <c r="G63" s="66"/>
      <c r="I63" s="52" t="s">
        <v>91</v>
      </c>
    </row>
  </sheetData>
  <dataConsolidate/>
  <conditionalFormatting sqref="B30:F36 B44:G51">
    <cfRule type="expression" dxfId="5" priority="2">
      <formula>MOD(ROW(B30),2)</formula>
    </cfRule>
  </conditionalFormatting>
  <conditionalFormatting sqref="B13:F23">
    <cfRule type="expression" dxfId="4" priority="3">
      <formula>MOD(ROW(B13),2)</formula>
    </cfRule>
  </conditionalFormatting>
  <conditionalFormatting sqref="B56:G63">
    <cfRule type="expression" dxfId="3" priority="1">
      <formula>MOD(ROW(B56),2)</formula>
    </cfRule>
  </conditionalFormatting>
  <dataValidations count="8">
    <dataValidation type="decimal" operator="greaterThan" allowBlank="1" showInputMessage="1" showErrorMessage="1" sqref="F30:F36">
      <formula1>0</formula1>
    </dataValidation>
    <dataValidation type="whole" operator="greaterThan" allowBlank="1" showInputMessage="1" showErrorMessage="1" sqref="D30:D36">
      <formula1>0</formula1>
    </dataValidation>
    <dataValidation type="whole" allowBlank="1" showInputMessage="1" showErrorMessage="1" sqref="C30:C36">
      <formula1>1</formula1>
      <formula2>12</formula2>
    </dataValidation>
    <dataValidation type="date" allowBlank="1" showInputMessage="1" showErrorMessage="1" sqref="B30:B36">
      <formula1>B16</formula1>
      <formula2>B14</formula2>
    </dataValidation>
    <dataValidation type="list" operator="greaterThan" allowBlank="1" showInputMessage="1" showErrorMessage="1" errorTitle="Unit Price" error="Invalid Unit Price" sqref="E30:E36">
      <formula1>"14.50,9.99,9.00"</formula1>
    </dataValidation>
    <dataValidation type="list" allowBlank="1" showInputMessage="1" showErrorMessage="1" sqref="B56:B63">
      <formula1>salesmen</formula1>
    </dataValidation>
    <dataValidation type="list" allowBlank="1" showInputMessage="1" showErrorMessage="1" sqref="C56:C63">
      <formula1>products</formula1>
    </dataValidation>
    <dataValidation type="list" allowBlank="1" showInputMessage="1" showErrorMessage="1" sqref="D56:D63">
      <formula1>saleschannel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Valid_Send_To_1A">
                <anchor moveWithCells="1" sizeWithCells="1">
                  <from>
                    <xdr:col>6</xdr:col>
                    <xdr:colOff>561975</xdr:colOff>
                    <xdr:row>25</xdr:row>
                    <xdr:rowOff>152400</xdr:rowOff>
                  </from>
                  <to>
                    <xdr:col>7</xdr:col>
                    <xdr:colOff>485775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Valid_Send_To_1B">
                <anchor moveWithCells="1" sizeWithCells="1">
                  <from>
                    <xdr:col>7</xdr:col>
                    <xdr:colOff>533400</xdr:colOff>
                    <xdr:row>47</xdr:row>
                    <xdr:rowOff>57150</xdr:rowOff>
                  </from>
                  <to>
                    <xdr:col>10</xdr:col>
                    <xdr:colOff>133350</xdr:colOff>
                    <xdr:row>50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/>
  </sheetPr>
  <dimension ref="A1:P66"/>
  <sheetViews>
    <sheetView showGridLines="0" topLeftCell="A26" zoomScale="80" workbookViewId="0">
      <selection activeCell="I46" sqref="I46"/>
    </sheetView>
  </sheetViews>
  <sheetFormatPr defaultColWidth="9.33203125" defaultRowHeight="12.75" outlineLevelRow="1" x14ac:dyDescent="0.2"/>
  <cols>
    <col min="1" max="1" width="9.33203125" style="2"/>
    <col min="2" max="2" width="20" style="2" customWidth="1"/>
    <col min="3" max="3" width="27.33203125" style="2" customWidth="1"/>
    <col min="4" max="4" width="30.83203125" style="2" customWidth="1"/>
    <col min="5" max="5" width="29.1640625" style="2" customWidth="1"/>
    <col min="6" max="6" width="30.33203125" style="2" customWidth="1"/>
    <col min="7" max="7" width="31.6640625" style="2" customWidth="1"/>
    <col min="8" max="8" width="15.33203125" style="2" customWidth="1"/>
    <col min="9" max="9" width="12.6640625" style="2" customWidth="1"/>
    <col min="10" max="10" width="9.33203125" style="2"/>
    <col min="11" max="11" width="16" style="2" customWidth="1"/>
    <col min="12" max="16384" width="9.33203125" style="2"/>
  </cols>
  <sheetData>
    <row r="1" spans="1:16" x14ac:dyDescent="0.2">
      <c r="A1" s="3" t="str">
        <f>Introduction!A1</f>
        <v xml:space="preserve">Problem Solving with Excel </v>
      </c>
    </row>
    <row r="2" spans="1:16" x14ac:dyDescent="0.2">
      <c r="A2" s="3" t="str">
        <f>Introduction!A2</f>
        <v>Week 2</v>
      </c>
    </row>
    <row r="3" spans="1:16" x14ac:dyDescent="0.2">
      <c r="A3" s="3" t="str">
        <f>Introduction!A3</f>
        <v>Data Cleansing - Text Functions</v>
      </c>
    </row>
    <row r="4" spans="1:16" x14ac:dyDescent="0.2">
      <c r="A4" s="3"/>
    </row>
    <row r="5" spans="1:16" x14ac:dyDescent="0.2">
      <c r="P5" s="5"/>
    </row>
    <row r="7" spans="1:16" ht="18.75" x14ac:dyDescent="0.3">
      <c r="B7" s="4" t="s">
        <v>120</v>
      </c>
    </row>
    <row r="8" spans="1:16" outlineLevel="1" x14ac:dyDescent="0.2"/>
    <row r="9" spans="1:16" outlineLevel="1" x14ac:dyDescent="0.2">
      <c r="B9" s="2" t="s">
        <v>114</v>
      </c>
    </row>
    <row r="10" spans="1:16" ht="12.75" customHeight="1" outlineLevel="1" x14ac:dyDescent="0.2">
      <c r="B10" s="2" t="s">
        <v>111</v>
      </c>
    </row>
    <row r="11" spans="1:16" outlineLevel="1" x14ac:dyDescent="0.2"/>
    <row r="12" spans="1:16" outlineLevel="1" x14ac:dyDescent="0.2">
      <c r="B12" s="9" t="s">
        <v>67</v>
      </c>
      <c r="C12" s="10" t="s">
        <v>68</v>
      </c>
      <c r="D12" s="11" t="s">
        <v>69</v>
      </c>
      <c r="E12" s="12" t="s">
        <v>70</v>
      </c>
      <c r="F12" s="12" t="s">
        <v>71</v>
      </c>
    </row>
    <row r="13" spans="1:16" outlineLevel="1" x14ac:dyDescent="0.2">
      <c r="B13" s="13">
        <v>42535</v>
      </c>
      <c r="C13" s="14">
        <f>VALUE(MONTH(B13))</f>
        <v>6</v>
      </c>
      <c r="D13" s="15">
        <v>208</v>
      </c>
      <c r="E13" s="16">
        <v>14.5</v>
      </c>
      <c r="F13" s="17">
        <f t="shared" ref="F13:F23" si="0">E13*D13</f>
        <v>3016</v>
      </c>
    </row>
    <row r="14" spans="1:16" outlineLevel="1" x14ac:dyDescent="0.2">
      <c r="B14" s="13">
        <v>42553</v>
      </c>
      <c r="C14" s="14">
        <f>VALUE(MONTH(B14))</f>
        <v>7</v>
      </c>
      <c r="D14" s="15">
        <v>197</v>
      </c>
      <c r="E14" s="16">
        <v>14.5</v>
      </c>
      <c r="F14" s="17">
        <f t="shared" si="0"/>
        <v>2856.5</v>
      </c>
    </row>
    <row r="15" spans="1:16" outlineLevel="1" x14ac:dyDescent="0.2">
      <c r="B15" s="13">
        <v>42536</v>
      </c>
      <c r="C15" s="14">
        <f t="shared" ref="C15:C23" si="1">VALUE(MONTH(B15))</f>
        <v>6</v>
      </c>
      <c r="D15" s="15">
        <v>176</v>
      </c>
      <c r="E15" s="16">
        <v>14.5</v>
      </c>
      <c r="F15" s="17">
        <f t="shared" si="0"/>
        <v>2552</v>
      </c>
    </row>
    <row r="16" spans="1:16" outlineLevel="1" x14ac:dyDescent="0.2">
      <c r="B16" s="13">
        <v>42531</v>
      </c>
      <c r="C16" s="14">
        <f t="shared" si="1"/>
        <v>6</v>
      </c>
      <c r="D16" s="15">
        <v>168</v>
      </c>
      <c r="E16" s="16">
        <v>14.5</v>
      </c>
      <c r="F16" s="17">
        <f t="shared" si="0"/>
        <v>2436</v>
      </c>
    </row>
    <row r="17" spans="2:6" outlineLevel="1" x14ac:dyDescent="0.2">
      <c r="B17" s="13">
        <v>42536</v>
      </c>
      <c r="C17" s="14">
        <f t="shared" si="1"/>
        <v>6</v>
      </c>
      <c r="D17" s="15">
        <v>166</v>
      </c>
      <c r="E17" s="16">
        <v>14.5</v>
      </c>
      <c r="F17" s="17">
        <f t="shared" si="0"/>
        <v>2407</v>
      </c>
    </row>
    <row r="18" spans="2:6" outlineLevel="1" x14ac:dyDescent="0.2">
      <c r="B18" s="13">
        <v>42539</v>
      </c>
      <c r="C18" s="14">
        <f t="shared" si="1"/>
        <v>6</v>
      </c>
      <c r="D18" s="15">
        <v>157</v>
      </c>
      <c r="E18" s="16">
        <v>14.5</v>
      </c>
      <c r="F18" s="17">
        <f t="shared" si="0"/>
        <v>2276.5</v>
      </c>
    </row>
    <row r="19" spans="2:6" outlineLevel="1" x14ac:dyDescent="0.2">
      <c r="B19" s="13">
        <v>42545</v>
      </c>
      <c r="C19" s="14">
        <f t="shared" si="1"/>
        <v>6</v>
      </c>
      <c r="D19" s="15">
        <v>142</v>
      </c>
      <c r="E19" s="16">
        <v>14.5</v>
      </c>
      <c r="F19" s="17">
        <f t="shared" si="0"/>
        <v>2059</v>
      </c>
    </row>
    <row r="20" spans="2:6" outlineLevel="1" x14ac:dyDescent="0.2">
      <c r="B20" s="13">
        <v>42535</v>
      </c>
      <c r="C20" s="14">
        <f t="shared" si="1"/>
        <v>6</v>
      </c>
      <c r="D20" s="15">
        <v>193</v>
      </c>
      <c r="E20" s="16">
        <v>9.99</v>
      </c>
      <c r="F20" s="17">
        <f t="shared" si="0"/>
        <v>1928.07</v>
      </c>
    </row>
    <row r="21" spans="2:6" outlineLevel="1" x14ac:dyDescent="0.2">
      <c r="B21" s="13">
        <v>42538</v>
      </c>
      <c r="C21" s="14">
        <f t="shared" si="1"/>
        <v>6</v>
      </c>
      <c r="D21" s="15">
        <v>205</v>
      </c>
      <c r="E21" s="16">
        <v>9</v>
      </c>
      <c r="F21" s="17">
        <f t="shared" si="0"/>
        <v>1845</v>
      </c>
    </row>
    <row r="22" spans="2:6" ht="12.75" customHeight="1" outlineLevel="1" x14ac:dyDescent="0.2">
      <c r="B22" s="13">
        <v>42538</v>
      </c>
      <c r="C22" s="14">
        <f t="shared" si="1"/>
        <v>6</v>
      </c>
      <c r="D22" s="15">
        <v>199</v>
      </c>
      <c r="E22" s="16">
        <v>9</v>
      </c>
      <c r="F22" s="17">
        <f t="shared" si="0"/>
        <v>1791</v>
      </c>
    </row>
    <row r="23" spans="2:6" outlineLevel="1" x14ac:dyDescent="0.2">
      <c r="B23" s="13">
        <v>42534</v>
      </c>
      <c r="C23" s="14">
        <f t="shared" si="1"/>
        <v>6</v>
      </c>
      <c r="D23" s="15">
        <v>188</v>
      </c>
      <c r="E23" s="16">
        <v>9</v>
      </c>
      <c r="F23" s="17">
        <f t="shared" si="0"/>
        <v>1692</v>
      </c>
    </row>
    <row r="24" spans="2:6" outlineLevel="1" x14ac:dyDescent="0.2"/>
    <row r="25" spans="2:6" outlineLevel="1" x14ac:dyDescent="0.2"/>
    <row r="26" spans="2:6" outlineLevel="1" x14ac:dyDescent="0.2"/>
    <row r="27" spans="2:6" ht="15.75" outlineLevel="1" x14ac:dyDescent="0.25">
      <c r="B27" s="25"/>
    </row>
    <row r="28" spans="2:6" outlineLevel="1" x14ac:dyDescent="0.2">
      <c r="B28" s="9" t="s">
        <v>67</v>
      </c>
      <c r="C28" s="10" t="s">
        <v>68</v>
      </c>
      <c r="D28" s="11" t="s">
        <v>69</v>
      </c>
      <c r="E28" s="12" t="s">
        <v>70</v>
      </c>
      <c r="F28" s="12" t="s">
        <v>71</v>
      </c>
    </row>
    <row r="29" spans="2:6" outlineLevel="1" x14ac:dyDescent="0.2">
      <c r="B29" s="9" t="s">
        <v>72</v>
      </c>
      <c r="C29" s="10" t="s">
        <v>73</v>
      </c>
      <c r="D29" s="11" t="s">
        <v>73</v>
      </c>
      <c r="E29" s="12" t="s">
        <v>106</v>
      </c>
      <c r="F29" s="12" t="s">
        <v>74</v>
      </c>
    </row>
    <row r="30" spans="2:6" outlineLevel="1" x14ac:dyDescent="0.2">
      <c r="B30" s="13">
        <v>42535</v>
      </c>
      <c r="C30" s="14">
        <v>6</v>
      </c>
      <c r="D30" s="15">
        <v>208</v>
      </c>
      <c r="E30" s="16">
        <v>14.5</v>
      </c>
      <c r="F30" s="17">
        <v>3016</v>
      </c>
    </row>
    <row r="31" spans="2:6" outlineLevel="1" x14ac:dyDescent="0.2">
      <c r="B31" s="13"/>
      <c r="C31" s="14"/>
      <c r="D31" s="15"/>
      <c r="E31" s="16"/>
      <c r="F31" s="17"/>
    </row>
    <row r="32" spans="2:6" outlineLevel="1" x14ac:dyDescent="0.2">
      <c r="B32" s="13"/>
      <c r="C32" s="14"/>
      <c r="D32" s="15"/>
      <c r="E32" s="16"/>
      <c r="F32" s="17"/>
    </row>
    <row r="33" spans="2:7" outlineLevel="1" x14ac:dyDescent="0.2">
      <c r="B33" s="13"/>
      <c r="C33" s="14"/>
      <c r="D33" s="15"/>
      <c r="E33" s="16"/>
      <c r="F33" s="17"/>
    </row>
    <row r="34" spans="2:7" outlineLevel="1" x14ac:dyDescent="0.2">
      <c r="B34" s="13"/>
      <c r="C34" s="14"/>
      <c r="D34" s="15"/>
      <c r="E34" s="16"/>
      <c r="F34" s="17"/>
    </row>
    <row r="35" spans="2:7" outlineLevel="1" x14ac:dyDescent="0.2">
      <c r="B35" s="13"/>
      <c r="C35" s="14"/>
      <c r="D35" s="15"/>
      <c r="E35" s="16"/>
      <c r="F35" s="17"/>
    </row>
    <row r="36" spans="2:7" outlineLevel="1" x14ac:dyDescent="0.2">
      <c r="B36" s="13"/>
      <c r="C36" s="14"/>
      <c r="D36" s="15"/>
      <c r="E36" s="16"/>
      <c r="F36" s="17"/>
    </row>
    <row r="37" spans="2:7" outlineLevel="1" x14ac:dyDescent="0.2"/>
    <row r="38" spans="2:7" ht="18.75" x14ac:dyDescent="0.3">
      <c r="B38" s="4" t="s">
        <v>125</v>
      </c>
    </row>
    <row r="39" spans="2:7" ht="18.75" outlineLevel="1" x14ac:dyDescent="0.3">
      <c r="B39" s="4"/>
    </row>
    <row r="40" spans="2:7" outlineLevel="1" x14ac:dyDescent="0.2">
      <c r="B40" s="2" t="s">
        <v>110</v>
      </c>
    </row>
    <row r="41" spans="2:7" outlineLevel="1" x14ac:dyDescent="0.2">
      <c r="B41" s="2" t="s">
        <v>75</v>
      </c>
    </row>
    <row r="42" spans="2:7" ht="12.75" customHeight="1" outlineLevel="1" x14ac:dyDescent="0.2"/>
    <row r="43" spans="2:7" outlineLevel="1" x14ac:dyDescent="0.2">
      <c r="B43" s="18" t="s">
        <v>76</v>
      </c>
      <c r="C43" s="18" t="s">
        <v>77</v>
      </c>
      <c r="D43" s="9" t="s">
        <v>78</v>
      </c>
      <c r="E43" s="9" t="s">
        <v>67</v>
      </c>
      <c r="F43" s="11" t="s">
        <v>69</v>
      </c>
      <c r="G43" s="12" t="s">
        <v>71</v>
      </c>
    </row>
    <row r="44" spans="2:7" outlineLevel="1" x14ac:dyDescent="0.2">
      <c r="B44" s="19" t="s">
        <v>79</v>
      </c>
      <c r="C44" s="19" t="s">
        <v>80</v>
      </c>
      <c r="D44" s="19" t="s">
        <v>82</v>
      </c>
      <c r="E44" s="13" t="s">
        <v>100</v>
      </c>
      <c r="F44" s="15">
        <v>208</v>
      </c>
      <c r="G44" s="24">
        <v>3016</v>
      </c>
    </row>
    <row r="45" spans="2:7" outlineLevel="1" x14ac:dyDescent="0.2">
      <c r="B45" s="19" t="s">
        <v>83</v>
      </c>
      <c r="C45" s="19" t="s">
        <v>81</v>
      </c>
      <c r="D45" s="19" t="s">
        <v>84</v>
      </c>
      <c r="E45" s="23" t="s">
        <v>101</v>
      </c>
      <c r="F45" s="15" t="s">
        <v>98</v>
      </c>
      <c r="G45" s="24">
        <v>2856.5</v>
      </c>
    </row>
    <row r="46" spans="2:7" outlineLevel="1" x14ac:dyDescent="0.2">
      <c r="B46" s="19" t="s">
        <v>85</v>
      </c>
      <c r="C46" s="22" t="s">
        <v>92</v>
      </c>
      <c r="D46" s="19" t="s">
        <v>86</v>
      </c>
      <c r="E46" s="23" t="s">
        <v>102</v>
      </c>
      <c r="F46" s="15" t="s">
        <v>99</v>
      </c>
      <c r="G46" s="24">
        <v>2552</v>
      </c>
    </row>
    <row r="47" spans="2:7" outlineLevel="1" x14ac:dyDescent="0.2">
      <c r="B47" s="21" t="s">
        <v>87</v>
      </c>
      <c r="C47" s="22" t="s">
        <v>93</v>
      </c>
      <c r="D47" s="19" t="s">
        <v>84</v>
      </c>
      <c r="E47" s="23" t="s">
        <v>103</v>
      </c>
      <c r="F47" s="15">
        <v>168</v>
      </c>
      <c r="G47" s="24">
        <v>2436</v>
      </c>
    </row>
    <row r="48" spans="2:7" outlineLevel="1" x14ac:dyDescent="0.2">
      <c r="B48" s="19" t="s">
        <v>88</v>
      </c>
      <c r="C48" s="20" t="s">
        <v>95</v>
      </c>
      <c r="D48" s="19" t="s">
        <v>86</v>
      </c>
      <c r="E48" s="23" t="s">
        <v>104</v>
      </c>
      <c r="F48" s="15">
        <v>166</v>
      </c>
      <c r="G48" s="24">
        <v>2407</v>
      </c>
    </row>
    <row r="49" spans="2:12" outlineLevel="1" x14ac:dyDescent="0.2">
      <c r="B49" s="19" t="s">
        <v>89</v>
      </c>
      <c r="C49" s="20" t="s">
        <v>94</v>
      </c>
      <c r="D49" s="19" t="s">
        <v>82</v>
      </c>
      <c r="E49" s="13" t="s">
        <v>105</v>
      </c>
      <c r="F49" s="15">
        <v>157</v>
      </c>
      <c r="G49" s="24">
        <v>2276.5</v>
      </c>
    </row>
    <row r="50" spans="2:12" outlineLevel="1" x14ac:dyDescent="0.2">
      <c r="B50" s="19" t="s">
        <v>90</v>
      </c>
      <c r="C50" s="20" t="s">
        <v>96</v>
      </c>
      <c r="D50" s="19" t="s">
        <v>82</v>
      </c>
      <c r="E50" s="13">
        <v>42545</v>
      </c>
      <c r="F50" s="15">
        <v>142</v>
      </c>
      <c r="G50" s="24">
        <v>2059</v>
      </c>
    </row>
    <row r="51" spans="2:12" outlineLevel="1" x14ac:dyDescent="0.2">
      <c r="B51" s="22" t="s">
        <v>91</v>
      </c>
      <c r="C51" s="22" t="s">
        <v>97</v>
      </c>
      <c r="D51" s="19" t="s">
        <v>86</v>
      </c>
      <c r="E51" s="13">
        <v>42535</v>
      </c>
      <c r="F51" s="15">
        <v>193</v>
      </c>
      <c r="G51" s="24">
        <v>1692</v>
      </c>
    </row>
    <row r="52" spans="2:12" outlineLevel="1" x14ac:dyDescent="0.2"/>
    <row r="53" spans="2:12" outlineLevel="1" x14ac:dyDescent="0.2"/>
    <row r="54" spans="2:12" outlineLevel="1" x14ac:dyDescent="0.2"/>
    <row r="55" spans="2:12" outlineLevel="1" x14ac:dyDescent="0.2"/>
    <row r="56" spans="2:12" outlineLevel="1" x14ac:dyDescent="0.2"/>
    <row r="57" spans="2:12" outlineLevel="1" x14ac:dyDescent="0.2">
      <c r="B57" s="18" t="s">
        <v>76</v>
      </c>
      <c r="C57" s="18" t="s">
        <v>77</v>
      </c>
      <c r="D57" s="9" t="s">
        <v>78</v>
      </c>
      <c r="E57" s="9" t="s">
        <v>67</v>
      </c>
      <c r="F57" s="11" t="s">
        <v>69</v>
      </c>
      <c r="G57" s="12" t="s">
        <v>71</v>
      </c>
    </row>
    <row r="58" spans="2:12" outlineLevel="1" x14ac:dyDescent="0.2">
      <c r="B58" s="18" t="s">
        <v>106</v>
      </c>
      <c r="C58" s="18" t="s">
        <v>106</v>
      </c>
      <c r="D58" s="9" t="s">
        <v>106</v>
      </c>
      <c r="E58" s="9" t="s">
        <v>72</v>
      </c>
      <c r="F58" s="11" t="s">
        <v>73</v>
      </c>
      <c r="G58" s="12" t="s">
        <v>107</v>
      </c>
      <c r="I58" s="2" t="s">
        <v>108</v>
      </c>
      <c r="K58" s="2" t="s">
        <v>109</v>
      </c>
      <c r="L58" s="2" t="s">
        <v>78</v>
      </c>
    </row>
    <row r="59" spans="2:12" outlineLevel="1" x14ac:dyDescent="0.2">
      <c r="B59" s="19" t="s">
        <v>79</v>
      </c>
      <c r="C59" s="19" t="s">
        <v>81</v>
      </c>
      <c r="D59" s="19" t="s">
        <v>82</v>
      </c>
      <c r="E59" s="13">
        <v>42552</v>
      </c>
      <c r="F59" s="15">
        <v>208</v>
      </c>
      <c r="G59" s="24">
        <v>3016</v>
      </c>
      <c r="I59" s="2" t="s">
        <v>79</v>
      </c>
      <c r="K59" s="2" t="s">
        <v>81</v>
      </c>
      <c r="L59" s="2" t="s">
        <v>82</v>
      </c>
    </row>
    <row r="60" spans="2:12" outlineLevel="1" x14ac:dyDescent="0.2">
      <c r="B60" s="19" t="s">
        <v>83</v>
      </c>
      <c r="C60" s="19" t="s">
        <v>81</v>
      </c>
      <c r="D60" s="19" t="s">
        <v>84</v>
      </c>
      <c r="E60" s="23">
        <v>42565</v>
      </c>
      <c r="F60" s="15">
        <v>199</v>
      </c>
      <c r="G60" s="24">
        <v>2856.5</v>
      </c>
      <c r="I60" s="2" t="s">
        <v>83</v>
      </c>
      <c r="K60" s="2" t="s">
        <v>93</v>
      </c>
      <c r="L60" s="2" t="s">
        <v>84</v>
      </c>
    </row>
    <row r="61" spans="2:12" outlineLevel="1" x14ac:dyDescent="0.2">
      <c r="B61" s="19" t="s">
        <v>85</v>
      </c>
      <c r="C61" s="22" t="s">
        <v>93</v>
      </c>
      <c r="D61" s="19" t="s">
        <v>86</v>
      </c>
      <c r="E61" s="23">
        <v>42536</v>
      </c>
      <c r="F61" s="15">
        <v>75</v>
      </c>
      <c r="G61" s="24">
        <v>2552</v>
      </c>
      <c r="I61" s="2" t="s">
        <v>85</v>
      </c>
      <c r="K61" s="2" t="s">
        <v>95</v>
      </c>
    </row>
    <row r="62" spans="2:12" outlineLevel="1" x14ac:dyDescent="0.2">
      <c r="B62" s="21" t="s">
        <v>87</v>
      </c>
      <c r="C62" s="22" t="s">
        <v>93</v>
      </c>
      <c r="D62" s="19" t="s">
        <v>84</v>
      </c>
      <c r="E62" s="23">
        <v>42505</v>
      </c>
      <c r="F62" s="15">
        <v>168</v>
      </c>
      <c r="G62" s="24">
        <v>2436</v>
      </c>
      <c r="I62" s="2" t="s">
        <v>87</v>
      </c>
      <c r="K62" s="2" t="s">
        <v>97</v>
      </c>
    </row>
    <row r="63" spans="2:12" outlineLevel="1" x14ac:dyDescent="0.2">
      <c r="B63" s="19" t="s">
        <v>88</v>
      </c>
      <c r="C63" s="20" t="s">
        <v>95</v>
      </c>
      <c r="D63" s="19" t="s">
        <v>86</v>
      </c>
      <c r="E63" s="23">
        <v>42416</v>
      </c>
      <c r="F63" s="15">
        <v>166</v>
      </c>
      <c r="G63" s="24">
        <v>2407</v>
      </c>
      <c r="I63" s="2" t="s">
        <v>88</v>
      </c>
    </row>
    <row r="64" spans="2:12" outlineLevel="1" x14ac:dyDescent="0.2">
      <c r="B64" s="19" t="s">
        <v>89</v>
      </c>
      <c r="C64" s="20" t="s">
        <v>95</v>
      </c>
      <c r="D64" s="19" t="s">
        <v>82</v>
      </c>
      <c r="E64" s="13">
        <v>42504</v>
      </c>
      <c r="F64" s="15">
        <v>157</v>
      </c>
      <c r="G64" s="24">
        <v>2276.5</v>
      </c>
      <c r="I64" s="2" t="s">
        <v>89</v>
      </c>
    </row>
    <row r="65" spans="2:9" outlineLevel="1" x14ac:dyDescent="0.2">
      <c r="B65" s="19" t="s">
        <v>90</v>
      </c>
      <c r="C65" s="20" t="s">
        <v>97</v>
      </c>
      <c r="D65" s="19" t="s">
        <v>82</v>
      </c>
      <c r="E65" s="13">
        <v>42545</v>
      </c>
      <c r="F65" s="15">
        <v>142</v>
      </c>
      <c r="G65" s="24">
        <v>2059</v>
      </c>
      <c r="I65" s="2" t="s">
        <v>90</v>
      </c>
    </row>
    <row r="66" spans="2:9" outlineLevel="1" x14ac:dyDescent="0.2">
      <c r="B66" s="22" t="s">
        <v>91</v>
      </c>
      <c r="C66" s="22" t="s">
        <v>97</v>
      </c>
      <c r="D66" s="19" t="s">
        <v>86</v>
      </c>
      <c r="E66" s="13">
        <v>42535</v>
      </c>
      <c r="F66" s="15">
        <v>193</v>
      </c>
      <c r="G66" s="24">
        <v>1692</v>
      </c>
      <c r="I66" s="2" t="s">
        <v>91</v>
      </c>
    </row>
  </sheetData>
  <dataConsolidate/>
  <conditionalFormatting sqref="B30:F36 B44:G51">
    <cfRule type="expression" dxfId="2" priority="3">
      <formula>MOD(ROW(B30),2)</formula>
    </cfRule>
  </conditionalFormatting>
  <conditionalFormatting sqref="B13:F23">
    <cfRule type="expression" dxfId="1" priority="4">
      <formula>MOD(ROW(B13),2)</formula>
    </cfRule>
  </conditionalFormatting>
  <conditionalFormatting sqref="B59:G66">
    <cfRule type="expression" dxfId="0" priority="1">
      <formula>MOD(ROW(B59),2)</formula>
    </cfRule>
  </conditionalFormatting>
  <dataValidations count="12">
    <dataValidation type="date" operator="greaterThan" allowBlank="1" showInputMessage="1" showErrorMessage="1" sqref="E59:E66">
      <formula1>1</formula1>
    </dataValidation>
    <dataValidation type="whole" allowBlank="1" showInputMessage="1" showErrorMessage="1" sqref="C30:C36">
      <formula1>0</formula1>
      <formula2>12</formula2>
    </dataValidation>
    <dataValidation type="whole" operator="greaterThan" allowBlank="1" showInputMessage="1" showErrorMessage="1" sqref="F59:F66 D36">
      <formula1>0</formula1>
    </dataValidation>
    <dataValidation type="decimal" operator="greaterThan" allowBlank="1" showInputMessage="1" showErrorMessage="1" sqref="E31:F36">
      <formula1>0</formula1>
    </dataValidation>
    <dataValidation type="list" allowBlank="1" showInputMessage="1" showErrorMessage="1" sqref="B59:B66">
      <formula1>salesmen</formula1>
    </dataValidation>
    <dataValidation type="list" allowBlank="1" showInputMessage="1" showErrorMessage="1" sqref="C59:C66">
      <formula1>products</formula1>
    </dataValidation>
    <dataValidation type="list" allowBlank="1" showInputMessage="1" showErrorMessage="1" sqref="D59:D66">
      <formula1>saleschannel</formula1>
    </dataValidation>
    <dataValidation type="date" allowBlank="1" showInputMessage="1" showErrorMessage="1" sqref="B36">
      <formula1>B22</formula1>
      <formula2>B19</formula2>
    </dataValidation>
    <dataValidation type="date" allowBlank="1" showInputMessage="1" showErrorMessage="1" sqref="B30:B35">
      <formula1>B16</formula1>
      <formula2>B14</formula2>
    </dataValidation>
    <dataValidation type="whole" operator="greaterThan" allowBlank="1" showInputMessage="1" showErrorMessage="1" sqref="D30:D35">
      <formula1>100</formula1>
    </dataValidation>
    <dataValidation type="list" operator="greaterThan" allowBlank="1" showInputMessage="1" showErrorMessage="1" sqref="E30">
      <formula1>$E$13:$E$23</formula1>
    </dataValidation>
    <dataValidation type="decimal" operator="greaterThan" allowBlank="1" showInputMessage="1" showErrorMessage="1" sqref="F30">
      <formula1>1000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Valid_Instruction_Send_To_1A">
                <anchor moveWithCells="1" sizeWithCells="1">
                  <from>
                    <xdr:col>6</xdr:col>
                    <xdr:colOff>666750</xdr:colOff>
                    <xdr:row>22</xdr:row>
                    <xdr:rowOff>9525</xdr:rowOff>
                  </from>
                  <to>
                    <xdr:col>7</xdr:col>
                    <xdr:colOff>600075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Valid_Instruction_Send_To_1B">
                <anchor moveWithCells="1" sizeWithCells="1">
                  <from>
                    <xdr:col>7</xdr:col>
                    <xdr:colOff>533400</xdr:colOff>
                    <xdr:row>49</xdr:row>
                    <xdr:rowOff>133350</xdr:rowOff>
                  </from>
                  <to>
                    <xdr:col>10</xdr:col>
                    <xdr:colOff>133350</xdr:colOff>
                    <xdr:row>53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Introduction</vt:lpstr>
      <vt:lpstr>Table of contents</vt:lpstr>
      <vt:lpstr>Section 1 - Right, Left</vt:lpstr>
      <vt:lpstr>Section 1 - Right, Left (ANS)</vt:lpstr>
      <vt:lpstr>Section 2 - Find, Len, Mid</vt:lpstr>
      <vt:lpstr>Section 2 - Find, Len, Mid(ANS)</vt:lpstr>
      <vt:lpstr>Section 3 - Prop, Con</vt:lpstr>
      <vt:lpstr>Section 3 - Prop, Con (ANS)</vt:lpstr>
      <vt:lpstr>Section 4 - Valid</vt:lpstr>
      <vt:lpstr>Section 4 - Valid ANS</vt:lpstr>
      <vt:lpstr>'Section 4 - Valid'!products</vt:lpstr>
      <vt:lpstr>products</vt:lpstr>
      <vt:lpstr>'Section 4 - Valid'!saleschannel</vt:lpstr>
      <vt:lpstr>saleschannel</vt:lpstr>
      <vt:lpstr>'Section 4 - Valid'!salesmen</vt:lpstr>
      <vt:lpstr>salesmen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Windows User</cp:lastModifiedBy>
  <dcterms:created xsi:type="dcterms:W3CDTF">2016-06-22T22:01:00Z</dcterms:created>
  <dcterms:modified xsi:type="dcterms:W3CDTF">2018-07-05T07:03:28Z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