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S\Downloads\Problem Solving with Excel\Week 4\"/>
    </mc:Choice>
  </mc:AlternateContent>
  <bookViews>
    <workbookView xWindow="0" yWindow="0" windowWidth="24000" windowHeight="9435" activeTab="2"/>
  </bookViews>
  <sheets>
    <sheet name="Cover Page" sheetId="1" r:id="rId1"/>
    <sheet name="Table of Contents" sheetId="12" r:id="rId2"/>
    <sheet name="Data Set" sheetId="7" r:id="rId3"/>
    <sheet name="Section 1 - Instruction" sheetId="10" r:id="rId4"/>
    <sheet name="Section 1 - ANS" sheetId="11" state="hidden" r:id="rId5"/>
  </sheets>
  <externalReferences>
    <externalReference r:id="rId6"/>
    <externalReference r:id="rId7"/>
    <externalReference r:id="rId8"/>
  </externalReferences>
  <definedNames>
    <definedName name="Country" localSheetId="1">'[1]Data Set'!$F$9:$F$32</definedName>
    <definedName name="Country">'[2]Data Set'!$F$9:$F$32</definedName>
    <definedName name="Name" localSheetId="1">'[1]Data Set'!$B$38:$I$38</definedName>
    <definedName name="Name">'[3]Data Set'!$B$38:$I$38</definedName>
    <definedName name="Personal_Info" localSheetId="1">'[1]Data Set'!$B$38:$B$44</definedName>
    <definedName name="Personal_Info">'[3]Data Set'!$B$38:$B$44</definedName>
    <definedName name="Revenue" localSheetId="1">'[1]Data Set'!$C$9:$C$32</definedName>
    <definedName name="Revenue">'[3]Data Set'!$C$9:$C$32</definedName>
  </definedNames>
  <calcPr calcId="162913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4" i="10" l="1"/>
  <c r="C76" i="10"/>
  <c r="C73" i="10"/>
  <c r="C61" i="10"/>
  <c r="C63" i="10"/>
  <c r="J49" i="10"/>
  <c r="J48" i="10"/>
  <c r="J46" i="10"/>
  <c r="J43" i="10"/>
  <c r="C51" i="10"/>
  <c r="C50" i="10"/>
  <c r="C48" i="10"/>
  <c r="C45" i="10"/>
  <c r="C37" i="10"/>
  <c r="C35" i="10"/>
  <c r="C32" i="10"/>
  <c r="C22" i="10"/>
  <c r="C21" i="10"/>
  <c r="C12" i="10"/>
  <c r="C11" i="10"/>
  <c r="A3" i="12"/>
  <c r="A2" i="12"/>
  <c r="A1" i="12"/>
  <c r="C48" i="11"/>
  <c r="C45" i="11"/>
  <c r="C50" i="11"/>
  <c r="C51" i="11"/>
  <c r="C17" i="7"/>
  <c r="D17" i="7"/>
  <c r="E17" i="7"/>
  <c r="F17" i="7"/>
  <c r="G17" i="7"/>
  <c r="C22" i="11"/>
  <c r="C9" i="7"/>
  <c r="D9" i="7"/>
  <c r="E9" i="7"/>
  <c r="F9" i="7"/>
  <c r="G9" i="7"/>
  <c r="C12" i="11"/>
  <c r="C21" i="11"/>
  <c r="C73" i="11"/>
  <c r="C78" i="11"/>
  <c r="C60" i="11"/>
  <c r="C63" i="11"/>
  <c r="C61" i="11"/>
  <c r="C35" i="11"/>
  <c r="C32" i="11"/>
  <c r="C11" i="11"/>
  <c r="A3" i="11"/>
  <c r="A2" i="11"/>
  <c r="A1" i="11"/>
  <c r="C37" i="11"/>
  <c r="C66" i="11"/>
  <c r="C76" i="11"/>
  <c r="C79" i="11"/>
  <c r="C60" i="10"/>
  <c r="C74" i="11"/>
  <c r="C66" i="10"/>
  <c r="A3" i="10"/>
  <c r="A2" i="10"/>
  <c r="A1" i="10"/>
  <c r="A3" i="7"/>
  <c r="A2" i="7"/>
  <c r="A1" i="7"/>
</calcChain>
</file>

<file path=xl/sharedStrings.xml><?xml version="1.0" encoding="utf-8"?>
<sst xmlns="http://schemas.openxmlformats.org/spreadsheetml/2006/main" count="146" uniqueCount="47">
  <si>
    <t>Financial Formulas</t>
  </si>
  <si>
    <t>Section 1 - Instruction</t>
  </si>
  <si>
    <t>Expenses</t>
  </si>
  <si>
    <t>NPV</t>
  </si>
  <si>
    <t>IRR</t>
  </si>
  <si>
    <t>Discount Rate</t>
  </si>
  <si>
    <t>NPV and IRR</t>
  </si>
  <si>
    <t>Revenues (millions)</t>
  </si>
  <si>
    <t>Profit</t>
  </si>
  <si>
    <t>Rate</t>
  </si>
  <si>
    <t>PMT</t>
  </si>
  <si>
    <t>Calculate the monthly payment required to paydown your student loan within 5 years</t>
  </si>
  <si>
    <t>Number of Payments (NPER)</t>
  </si>
  <si>
    <t>Present Value</t>
  </si>
  <si>
    <t>Payments</t>
  </si>
  <si>
    <t>Years</t>
  </si>
  <si>
    <t>Frequency</t>
  </si>
  <si>
    <t>Yearly Rate</t>
  </si>
  <si>
    <t>Your business has taken a 3 year loan from a new business partner for 3 years with semi annual payments.</t>
  </si>
  <si>
    <t>What was your total interest paid?</t>
  </si>
  <si>
    <t>Total Interest Paid</t>
  </si>
  <si>
    <t>your college loans. How long would it take to pay down those loans and what would be the savings in interest payments</t>
  </si>
  <si>
    <t>Total Interest Saved</t>
  </si>
  <si>
    <t>You have talked to your final advisor and together you believe you can make payments of 3,000 a month towards</t>
  </si>
  <si>
    <t xml:space="preserve">After taking the business investment your business really boomed and you negotiated the loan to be payments of 40,000 quarterly in exhange for a lower interest rate of 4%. How long would it take to paydown the loan and what would be the interest savings.
</t>
  </si>
  <si>
    <t>Problem 1B - Student Lead</t>
  </si>
  <si>
    <t>Problem 2A - Instructor Lead</t>
  </si>
  <si>
    <t>Problem 2B - Student Lead</t>
  </si>
  <si>
    <t>Problem 3A - Instructor Lead</t>
  </si>
  <si>
    <t>Problem 3B - Student Lead</t>
  </si>
  <si>
    <t>NPER</t>
  </si>
  <si>
    <t>FitCore super product</t>
  </si>
  <si>
    <t>TaxiEats Cash Flows</t>
  </si>
  <si>
    <t>Problem Solving With Excel</t>
  </si>
  <si>
    <t>Week 4</t>
  </si>
  <si>
    <t>Data Set</t>
  </si>
  <si>
    <t>What is the NPV and IRR of FitCore super product</t>
  </si>
  <si>
    <t>What is the NPV and IRR of TaxiEats</t>
  </si>
  <si>
    <t>Problem 1A - Instructor Lead</t>
  </si>
  <si>
    <t>does not work because we have changing signs</t>
  </si>
  <si>
    <t>Section</t>
  </si>
  <si>
    <t>Description</t>
  </si>
  <si>
    <t>Sample data set</t>
  </si>
  <si>
    <t>Questions</t>
  </si>
  <si>
    <t>Section 1 - Ans</t>
  </si>
  <si>
    <t>Answer set for financial formulas</t>
  </si>
  <si>
    <t>Table of Contents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</si>
</sst>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 * #,##0.00_ ;_ * \-#,##0.00_ ;_ * &quot;-&quot;??_ ;_ @_ "/>
    <numFmt numFmtId="164" formatCode="&quot;$&quot;#,##0_);[Red]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&quot;$&quot;* #,##0_);_(&quot;$&quot;* \(#,##0\);_(&quot;$&quot;* &quot;-&quot;??_);_(@_)"/>
    <numFmt numFmtId="169" formatCode="_(* #,##0_);_(* \(#,##0\);_(* &quot;-&quot;??_);_(@_)"/>
    <numFmt numFmtId="170" formatCode="0.0%"/>
    <numFmt numFmtId="171" formatCode="_(* #,##0_);_(* \(#,##0\);_(* &quot;-&quot;_);@_)"/>
    <numFmt numFmtId="172" formatCode="_(* #,##0.0_);_(* \(#,##0.0\);_(* &quot;-&quot;_);@_)"/>
    <numFmt numFmtId="173" formatCode="0%_);\(0%\)"/>
  </numFmts>
  <fonts count="38" x14ac:knownFonts="1">
    <font>
      <sz val="9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color rgb="FFC00000"/>
      <name val="Arial"/>
      <family val="2"/>
    </font>
    <font>
      <b/>
      <sz val="11"/>
      <color theme="3"/>
      <name val="Arial"/>
      <family val="2"/>
      <scheme val="minor"/>
    </font>
    <font>
      <b/>
      <sz val="14"/>
      <color theme="6" tint="-0.249977111117893"/>
      <name val="Arial"/>
      <family val="2"/>
      <scheme val="minor"/>
    </font>
    <font>
      <b/>
      <sz val="10"/>
      <color theme="6" tint="-0.249977111117893"/>
      <name val="Arial"/>
      <family val="2"/>
    </font>
    <font>
      <b/>
      <sz val="9"/>
      <color theme="3"/>
      <name val="Arial"/>
      <family val="2"/>
      <scheme val="minor"/>
    </font>
    <font>
      <i/>
      <sz val="11"/>
      <color theme="9"/>
      <name val="Arial"/>
      <family val="2"/>
      <scheme val="minor"/>
    </font>
    <font>
      <b/>
      <u/>
      <sz val="14"/>
      <color rgb="FF602320"/>
      <name val="Calibri"/>
      <family val="2"/>
    </font>
    <font>
      <sz val="10"/>
      <color rgb="FF00B050"/>
      <name val="Arial"/>
      <family val="2"/>
    </font>
    <font>
      <b/>
      <sz val="10"/>
      <color rgb="FFFFFFFF"/>
      <name val="Arial"/>
      <family val="2"/>
    </font>
    <font>
      <sz val="10"/>
      <color rgb="FFFFFFFF"/>
      <name val="Arial"/>
      <family val="2"/>
    </font>
    <font>
      <sz val="10"/>
      <color rgb="FF000000"/>
      <name val="Arial"/>
      <family val="2"/>
    </font>
    <font>
      <sz val="10"/>
      <color rgb="FF602320"/>
      <name val="Arial"/>
      <family val="2"/>
    </font>
    <font>
      <sz val="9"/>
      <color rgb="FF9C0006"/>
      <name val="Arial"/>
      <family val="2"/>
    </font>
    <font>
      <b/>
      <sz val="9"/>
      <color rgb="FFFA7D00"/>
      <name val="Arial"/>
      <family val="2"/>
    </font>
    <font>
      <b/>
      <sz val="9"/>
      <color theme="0"/>
      <name val="Arial"/>
      <family val="2"/>
      <scheme val="minor"/>
    </font>
    <font>
      <sz val="9"/>
      <color theme="1"/>
      <name val="Arial"/>
      <family val="2"/>
      <scheme val="minor"/>
    </font>
    <font>
      <i/>
      <sz val="9"/>
      <color rgb="FF7F7F7F"/>
      <name val="Arial"/>
      <family val="2"/>
      <scheme val="minor"/>
    </font>
    <font>
      <sz val="9"/>
      <color rgb="FF006100"/>
      <name val="Arial"/>
      <family val="2"/>
    </font>
    <font>
      <b/>
      <sz val="9"/>
      <color theme="3"/>
      <name val="Arial"/>
      <family val="2"/>
    </font>
    <font>
      <b/>
      <sz val="9"/>
      <color theme="3"/>
      <name val="Georgia"/>
      <family val="2"/>
      <scheme val="major"/>
    </font>
    <font>
      <sz val="9"/>
      <color theme="3"/>
      <name val="Georgia"/>
      <family val="2"/>
      <scheme val="major"/>
    </font>
    <font>
      <sz val="9"/>
      <color rgb="FF3F3F76"/>
      <name val="Arial"/>
      <family val="2"/>
      <scheme val="minor"/>
    </font>
    <font>
      <sz val="9"/>
      <color rgb="FFFA7D00"/>
      <name val="Arial"/>
      <family val="2"/>
      <scheme val="minor"/>
    </font>
    <font>
      <sz val="9"/>
      <color rgb="FF9C6500"/>
      <name val="Arial"/>
      <family val="2"/>
    </font>
    <font>
      <b/>
      <sz val="9"/>
      <color rgb="FF3F3F3F"/>
      <name val="Arial"/>
      <family val="2"/>
      <scheme val="minor"/>
    </font>
    <font>
      <sz val="8"/>
      <color theme="1"/>
      <name val="Arial"/>
      <family val="2"/>
      <scheme val="minor"/>
    </font>
    <font>
      <b/>
      <sz val="9"/>
      <color theme="1"/>
      <name val="Arial"/>
      <family val="2"/>
      <scheme val="minor"/>
    </font>
    <font>
      <b/>
      <sz val="11"/>
      <color theme="3"/>
      <name val="Georgia"/>
      <family val="2"/>
      <scheme val="major"/>
    </font>
    <font>
      <b/>
      <sz val="9"/>
      <color theme="1"/>
      <name val="Georgia"/>
      <family val="2"/>
      <scheme val="major"/>
    </font>
    <font>
      <sz val="9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FFFFFF"/>
      <name val="Arial"/>
      <family val="2"/>
    </font>
    <font>
      <sz val="11"/>
      <color rgb="FF000000"/>
      <name val="Arial"/>
      <family val="2"/>
    </font>
    <font>
      <sz val="11"/>
      <color rgb="FF602320"/>
      <name val="Arial"/>
      <family val="2"/>
    </font>
    <font>
      <sz val="11"/>
      <color rgb="FF00B05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60232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ECC8C6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CD4B6"/>
        <bgColor indexed="64"/>
      </patternFill>
    </fill>
    <fill>
      <patternFill patternType="solid">
        <fgColor rgb="FFE8E6D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602320"/>
      </bottom>
      <diagonal/>
    </border>
    <border>
      <left/>
      <right/>
      <top style="thin">
        <color rgb="FF602320"/>
      </top>
      <bottom style="thin">
        <color rgb="FF60232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medium">
        <color theme="4"/>
      </bottom>
      <diagonal/>
    </border>
  </borders>
  <cellStyleXfs count="32">
    <xf numFmtId="171" fontId="0" fillId="0" borderId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7" fillId="0" borderId="2" applyFill="0" applyProtection="0">
      <alignment horizontal="right" wrapText="1"/>
    </xf>
    <xf numFmtId="0" fontId="4" fillId="0" borderId="0" applyAlignment="0" applyProtection="0"/>
    <xf numFmtId="49" fontId="30" fillId="0" borderId="0" applyAlignment="0" applyProtection="0"/>
    <xf numFmtId="49" fontId="21" fillId="0" borderId="2" applyFill="0" applyProtection="0">
      <alignment horizontal="right" wrapText="1"/>
    </xf>
    <xf numFmtId="49" fontId="22" fillId="0" borderId="0" applyProtection="0">
      <alignment wrapText="1"/>
    </xf>
    <xf numFmtId="49" fontId="23" fillId="0" borderId="15" applyFill="0" applyProtection="0">
      <alignment horizontal="right" wrapText="1"/>
    </xf>
    <xf numFmtId="49" fontId="23" fillId="0" borderId="0" applyProtection="0">
      <alignment wrapText="1"/>
    </xf>
    <xf numFmtId="0" fontId="20" fillId="9" borderId="0" applyNumberFormat="0" applyBorder="0" applyAlignment="0" applyProtection="0"/>
    <xf numFmtId="0" fontId="15" fillId="10" borderId="0" applyNumberFormat="0" applyBorder="0" applyAlignment="0" applyProtection="0"/>
    <xf numFmtId="0" fontId="26" fillId="11" borderId="0" applyNumberFormat="0" applyBorder="0" applyAlignment="0" applyProtection="0"/>
    <xf numFmtId="0" fontId="24" fillId="12" borderId="10" applyNumberFormat="0" applyAlignment="0" applyProtection="0"/>
    <xf numFmtId="0" fontId="27" fillId="13" borderId="11" applyNumberFormat="0" applyAlignment="0" applyProtection="0"/>
    <xf numFmtId="0" fontId="16" fillId="13" borderId="10" applyNumberFormat="0" applyAlignment="0" applyProtection="0"/>
    <xf numFmtId="0" fontId="25" fillId="0" borderId="12" applyNumberFormat="0" applyFill="0" applyAlignment="0" applyProtection="0"/>
    <xf numFmtId="0" fontId="17" fillId="14" borderId="13" applyNumberFormat="0" applyAlignment="0" applyProtection="0"/>
    <xf numFmtId="0" fontId="18" fillId="15" borderId="14" applyNumberFormat="0" applyAlignment="0" applyProtection="0"/>
    <xf numFmtId="0" fontId="19" fillId="0" borderId="0" applyNumberFormat="0" applyFill="0" applyBorder="0" applyAlignment="0" applyProtection="0"/>
    <xf numFmtId="0" fontId="31" fillId="0" borderId="18" applyNumberFormat="0" applyFill="0" applyAlignment="0" applyProtection="0"/>
    <xf numFmtId="171" fontId="7" fillId="0" borderId="0" applyNumberFormat="0" applyFill="0" applyBorder="0" applyAlignment="0" applyProtection="0"/>
    <xf numFmtId="171" fontId="18" fillId="16" borderId="0" applyNumberFormat="0" applyFont="0" applyBorder="0" applyAlignment="0" applyProtection="0"/>
    <xf numFmtId="0" fontId="18" fillId="0" borderId="0" applyFill="0" applyBorder="0" applyProtection="0"/>
    <xf numFmtId="171" fontId="18" fillId="17" borderId="0" applyNumberFormat="0" applyFont="0" applyBorder="0" applyAlignment="0" applyProtection="0"/>
    <xf numFmtId="173" fontId="18" fillId="0" borderId="0" applyFill="0" applyBorder="0" applyAlignment="0" applyProtection="0"/>
    <xf numFmtId="0" fontId="28" fillId="0" borderId="0" applyNumberFormat="0" applyAlignment="0" applyProtection="0"/>
    <xf numFmtId="0" fontId="7" fillId="0" borderId="0" applyFill="0" applyProtection="0">
      <alignment wrapText="1"/>
    </xf>
    <xf numFmtId="0" fontId="7" fillId="0" borderId="16" applyFill="0" applyProtection="0">
      <alignment wrapText="1"/>
    </xf>
    <xf numFmtId="171" fontId="29" fillId="0" borderId="17" applyNumberFormat="0" applyFill="0" applyAlignment="0" applyProtection="0"/>
    <xf numFmtId="0" fontId="29" fillId="0" borderId="18" applyNumberFormat="0" applyFill="0" applyAlignment="0" applyProtection="0"/>
  </cellStyleXfs>
  <cellXfs count="68">
    <xf numFmtId="171" fontId="0" fillId="0" borderId="0" xfId="0"/>
    <xf numFmtId="171" fontId="7" fillId="0" borderId="2" xfId="4" applyNumberFormat="1" applyAlignment="1">
      <alignment horizontal="left" wrapText="1"/>
    </xf>
    <xf numFmtId="171" fontId="3" fillId="0" borderId="0" xfId="0" applyFont="1"/>
    <xf numFmtId="167" fontId="0" fillId="0" borderId="0" xfId="0" applyNumberFormat="1"/>
    <xf numFmtId="171" fontId="5" fillId="0" borderId="0" xfId="0" applyFont="1"/>
    <xf numFmtId="171" fontId="6" fillId="0" borderId="0" xfId="0" applyFont="1"/>
    <xf numFmtId="168" fontId="0" fillId="2" borderId="1" xfId="0" applyNumberFormat="1" applyFill="1" applyBorder="1"/>
    <xf numFmtId="171" fontId="0" fillId="2" borderId="6" xfId="0" applyFill="1" applyBorder="1"/>
    <xf numFmtId="168" fontId="0" fillId="2" borderId="7" xfId="0" applyNumberFormat="1" applyFill="1" applyBorder="1"/>
    <xf numFmtId="171" fontId="0" fillId="3" borderId="3" xfId="0" applyFill="1" applyBorder="1"/>
    <xf numFmtId="168" fontId="0" fillId="3" borderId="4" xfId="0" applyNumberFormat="1" applyFill="1" applyBorder="1"/>
    <xf numFmtId="168" fontId="0" fillId="3" borderId="5" xfId="0" applyNumberFormat="1" applyFill="1" applyBorder="1"/>
    <xf numFmtId="168" fontId="0" fillId="2" borderId="1" xfId="2" applyNumberFormat="1" applyFont="1" applyFill="1" applyBorder="1"/>
    <xf numFmtId="168" fontId="0" fillId="2" borderId="7" xfId="2" applyNumberFormat="1" applyFont="1" applyFill="1" applyBorder="1"/>
    <xf numFmtId="9" fontId="0" fillId="2" borderId="6" xfId="3" applyFont="1" applyFill="1" applyBorder="1" applyAlignment="1">
      <alignment horizontal="center"/>
    </xf>
    <xf numFmtId="171" fontId="8" fillId="0" borderId="0" xfId="0" applyFont="1"/>
    <xf numFmtId="171" fontId="11" fillId="4" borderId="8" xfId="0" applyNumberFormat="1" applyFont="1" applyFill="1" applyBorder="1" applyAlignment="1">
      <alignment horizontal="left" vertical="top"/>
    </xf>
    <xf numFmtId="171" fontId="12" fillId="4" borderId="8" xfId="0" applyNumberFormat="1" applyFont="1" applyFill="1" applyBorder="1" applyAlignment="1">
      <alignment horizontal="right" vertical="top"/>
    </xf>
    <xf numFmtId="171" fontId="13" fillId="5" borderId="9" xfId="0" applyNumberFormat="1" applyFont="1" applyFill="1" applyBorder="1" applyAlignment="1">
      <alignment horizontal="left" vertical="top"/>
    </xf>
    <xf numFmtId="171" fontId="14" fillId="0" borderId="9" xfId="0" applyNumberFormat="1" applyFont="1" applyFill="1" applyBorder="1" applyAlignment="1">
      <alignment horizontal="left" vertical="top"/>
    </xf>
    <xf numFmtId="169" fontId="14" fillId="0" borderId="9" xfId="1" applyNumberFormat="1" applyFont="1" applyFill="1" applyBorder="1" applyAlignment="1">
      <alignment horizontal="left" vertical="top"/>
    </xf>
    <xf numFmtId="10" fontId="14" fillId="0" borderId="9" xfId="3" applyNumberFormat="1" applyFont="1" applyFill="1" applyBorder="1" applyAlignment="1">
      <alignment horizontal="right" vertical="top"/>
    </xf>
    <xf numFmtId="164" fontId="10" fillId="6" borderId="9" xfId="0" applyNumberFormat="1" applyFont="1" applyFill="1" applyBorder="1" applyAlignment="1">
      <alignment horizontal="right" vertical="top"/>
    </xf>
    <xf numFmtId="10" fontId="14" fillId="7" borderId="9" xfId="3" applyNumberFormat="1" applyFont="1" applyFill="1" applyBorder="1" applyAlignment="1">
      <alignment horizontal="right" vertical="top"/>
    </xf>
    <xf numFmtId="171" fontId="14" fillId="7" borderId="9" xfId="0" applyNumberFormat="1" applyFont="1" applyFill="1" applyBorder="1" applyAlignment="1">
      <alignment horizontal="left" vertical="top"/>
    </xf>
    <xf numFmtId="167" fontId="14" fillId="7" borderId="9" xfId="0" applyNumberFormat="1" applyFont="1" applyFill="1" applyBorder="1" applyAlignment="1">
      <alignment horizontal="left" vertical="top"/>
    </xf>
    <xf numFmtId="172" fontId="14" fillId="7" borderId="9" xfId="0" applyNumberFormat="1" applyFont="1" applyFill="1" applyBorder="1" applyAlignment="1">
      <alignment horizontal="left" vertical="top"/>
    </xf>
    <xf numFmtId="167" fontId="14" fillId="0" borderId="9" xfId="1" applyNumberFormat="1" applyFont="1" applyFill="1" applyBorder="1" applyAlignment="1">
      <alignment horizontal="left" vertical="top"/>
    </xf>
    <xf numFmtId="167" fontId="14" fillId="7" borderId="9" xfId="1" applyFont="1" applyFill="1" applyBorder="1" applyAlignment="1">
      <alignment horizontal="right" vertical="top"/>
    </xf>
    <xf numFmtId="170" fontId="14" fillId="7" borderId="9" xfId="3" applyNumberFormat="1" applyFont="1" applyFill="1" applyBorder="1" applyAlignment="1">
      <alignment horizontal="right" vertical="top"/>
    </xf>
    <xf numFmtId="1" fontId="11" fillId="4" borderId="8" xfId="1" applyNumberFormat="1" applyFont="1" applyFill="1" applyBorder="1" applyAlignment="1">
      <alignment horizontal="right" vertical="top"/>
    </xf>
    <xf numFmtId="10" fontId="14" fillId="8" borderId="9" xfId="3" applyNumberFormat="1" applyFont="1" applyFill="1" applyBorder="1" applyAlignment="1">
      <alignment horizontal="right" vertical="top"/>
    </xf>
    <xf numFmtId="167" fontId="14" fillId="8" borderId="9" xfId="0" applyNumberFormat="1" applyFont="1" applyFill="1" applyBorder="1" applyAlignment="1">
      <alignment horizontal="left" vertical="top"/>
    </xf>
    <xf numFmtId="165" fontId="14" fillId="7" borderId="9" xfId="1" applyNumberFormat="1" applyFont="1" applyFill="1" applyBorder="1" applyAlignment="1">
      <alignment horizontal="right" vertical="top"/>
    </xf>
    <xf numFmtId="165" fontId="0" fillId="0" borderId="0" xfId="0" applyNumberFormat="1"/>
    <xf numFmtId="171" fontId="0" fillId="0" borderId="0" xfId="0"/>
    <xf numFmtId="171" fontId="9" fillId="0" borderId="0" xfId="5" applyNumberFormat="1" applyFont="1" applyFill="1" applyBorder="1"/>
    <xf numFmtId="0" fontId="0" fillId="0" borderId="0" xfId="0" applyNumberFormat="1" applyAlignment="1">
      <alignment horizontal="left" wrapText="1"/>
    </xf>
    <xf numFmtId="2" fontId="0" fillId="0" borderId="0" xfId="0" applyNumberFormat="1"/>
    <xf numFmtId="171" fontId="11" fillId="4" borderId="8" xfId="0" applyNumberFormat="1" applyFont="1" applyFill="1" applyBorder="1" applyAlignment="1">
      <alignment horizontal="center" vertical="center"/>
    </xf>
    <xf numFmtId="171" fontId="12" fillId="4" borderId="8" xfId="0" applyNumberFormat="1" applyFont="1" applyFill="1" applyBorder="1" applyAlignment="1">
      <alignment horizontal="center" vertical="center"/>
    </xf>
    <xf numFmtId="171" fontId="0" fillId="0" borderId="0" xfId="0" applyAlignment="1">
      <alignment horizontal="center" vertical="center"/>
    </xf>
    <xf numFmtId="171" fontId="33" fillId="4" borderId="8" xfId="0" applyNumberFormat="1" applyFont="1" applyFill="1" applyBorder="1" applyAlignment="1">
      <alignment horizontal="center" vertical="center"/>
    </xf>
    <xf numFmtId="171" fontId="34" fillId="4" borderId="8" xfId="0" applyNumberFormat="1" applyFont="1" applyFill="1" applyBorder="1" applyAlignment="1">
      <alignment horizontal="center" vertical="center"/>
    </xf>
    <xf numFmtId="171" fontId="1" fillId="0" borderId="0" xfId="0" applyFont="1" applyAlignment="1">
      <alignment horizontal="center" vertical="center"/>
    </xf>
    <xf numFmtId="171" fontId="35" fillId="5" borderId="9" xfId="0" applyNumberFormat="1" applyFont="1" applyFill="1" applyBorder="1" applyAlignment="1">
      <alignment horizontal="center" vertical="center"/>
    </xf>
    <xf numFmtId="10" fontId="36" fillId="0" borderId="9" xfId="3" applyNumberFormat="1" applyFont="1" applyFill="1" applyBorder="1" applyAlignment="1">
      <alignment horizontal="center" vertical="center"/>
    </xf>
    <xf numFmtId="10" fontId="36" fillId="7" borderId="9" xfId="3" applyNumberFormat="1" applyFont="1" applyFill="1" applyBorder="1" applyAlignment="1">
      <alignment horizontal="center" vertical="center"/>
    </xf>
    <xf numFmtId="169" fontId="36" fillId="0" borderId="9" xfId="1" applyNumberFormat="1" applyFont="1" applyFill="1" applyBorder="1" applyAlignment="1">
      <alignment horizontal="center" vertical="center"/>
    </xf>
    <xf numFmtId="171" fontId="36" fillId="7" borderId="9" xfId="0" applyNumberFormat="1" applyFont="1" applyFill="1" applyBorder="1" applyAlignment="1">
      <alignment horizontal="center" vertical="center"/>
    </xf>
    <xf numFmtId="171" fontId="36" fillId="0" borderId="9" xfId="0" applyNumberFormat="1" applyFont="1" applyFill="1" applyBorder="1" applyAlignment="1">
      <alignment horizontal="center" vertical="center"/>
    </xf>
    <xf numFmtId="164" fontId="37" fillId="6" borderId="9" xfId="0" applyNumberFormat="1" applyFont="1" applyFill="1" applyBorder="1" applyAlignment="1">
      <alignment horizontal="center" vertical="center"/>
    </xf>
    <xf numFmtId="167" fontId="36" fillId="7" borderId="9" xfId="0" applyNumberFormat="1" applyFont="1" applyFill="1" applyBorder="1" applyAlignment="1">
      <alignment horizontal="center" vertical="center"/>
    </xf>
    <xf numFmtId="43" fontId="1" fillId="0" borderId="0" xfId="0" applyNumberFormat="1" applyFont="1" applyAlignment="1">
      <alignment horizontal="center" vertical="center"/>
    </xf>
    <xf numFmtId="167" fontId="1" fillId="0" borderId="0" xfId="1" applyFont="1" applyAlignment="1">
      <alignment horizontal="center" vertical="center"/>
    </xf>
    <xf numFmtId="9" fontId="1" fillId="0" borderId="0" xfId="3" applyFont="1" applyAlignment="1">
      <alignment horizontal="center" vertical="center"/>
    </xf>
    <xf numFmtId="9" fontId="0" fillId="0" borderId="0" xfId="3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71" fontId="13" fillId="5" borderId="9" xfId="0" applyNumberFormat="1" applyFont="1" applyFill="1" applyBorder="1" applyAlignment="1">
      <alignment horizontal="left" vertical="center"/>
    </xf>
    <xf numFmtId="171" fontId="14" fillId="0" borderId="9" xfId="0" applyNumberFormat="1" applyFont="1" applyFill="1" applyBorder="1" applyAlignment="1">
      <alignment horizontal="left" vertical="center"/>
    </xf>
    <xf numFmtId="10" fontId="14" fillId="0" borderId="9" xfId="3" applyNumberFormat="1" applyFont="1" applyFill="1" applyBorder="1" applyAlignment="1">
      <alignment horizontal="right" vertical="center"/>
    </xf>
    <xf numFmtId="10" fontId="14" fillId="8" borderId="9" xfId="3" applyNumberFormat="1" applyFont="1" applyFill="1" applyBorder="1" applyAlignment="1">
      <alignment horizontal="right" vertical="center"/>
    </xf>
    <xf numFmtId="172" fontId="14" fillId="7" borderId="9" xfId="0" applyNumberFormat="1" applyFont="1" applyFill="1" applyBorder="1" applyAlignment="1">
      <alignment horizontal="right" vertical="center"/>
    </xf>
    <xf numFmtId="169" fontId="14" fillId="0" borderId="9" xfId="1" applyNumberFormat="1" applyFont="1" applyFill="1" applyBorder="1" applyAlignment="1">
      <alignment horizontal="right" vertical="center"/>
    </xf>
    <xf numFmtId="171" fontId="14" fillId="7" borderId="9" xfId="0" applyNumberFormat="1" applyFont="1" applyFill="1" applyBorder="1" applyAlignment="1">
      <alignment horizontal="right" vertical="center"/>
    </xf>
    <xf numFmtId="171" fontId="14" fillId="0" borderId="9" xfId="0" applyNumberFormat="1" applyFont="1" applyFill="1" applyBorder="1" applyAlignment="1">
      <alignment horizontal="right" vertical="center"/>
    </xf>
    <xf numFmtId="164" fontId="10" fillId="6" borderId="9" xfId="0" applyNumberFormat="1" applyFont="1" applyFill="1" applyBorder="1" applyAlignment="1">
      <alignment horizontal="right" vertical="center"/>
    </xf>
    <xf numFmtId="167" fontId="14" fillId="8" borderId="9" xfId="0" applyNumberFormat="1" applyFont="1" applyFill="1" applyBorder="1" applyAlignment="1">
      <alignment horizontal="right" vertical="center"/>
    </xf>
  </cellXfs>
  <cellStyles count="32">
    <cellStyle name="Bad" xfId="12" builtinId="27" customBuiltin="1"/>
    <cellStyle name="Calculation" xfId="16" builtinId="22" customBuiltin="1"/>
    <cellStyle name="Check Cell" xfId="18" builtinId="23" customBuiltin="1"/>
    <cellStyle name="Comma" xfId="1" builtinId="3"/>
    <cellStyle name="Currency" xfId="2" builtinId="4"/>
    <cellStyle name="Explanatory Text" xfId="20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 customBuiltin="1"/>
    <cellStyle name="Note" xfId="19" builtinId="10" customBuiltin="1"/>
    <cellStyle name="Output" xfId="15" builtinId="21" customBuiltin="1"/>
    <cellStyle name="Percent" xfId="3" builtinId="5" customBuiltin="1"/>
    <cellStyle name="Smart Bold" xfId="22"/>
    <cellStyle name="Smart Forecast" xfId="23"/>
    <cellStyle name="Smart General" xfId="24"/>
    <cellStyle name="Smart Highlight" xfId="25"/>
    <cellStyle name="Smart Percent" xfId="26"/>
    <cellStyle name="Smart Source" xfId="27"/>
    <cellStyle name="Smart Subtitle 1" xfId="4"/>
    <cellStyle name="Smart Subtitle 2" xfId="28"/>
    <cellStyle name="Smart Subtitle 3" xfId="29"/>
    <cellStyle name="Smart Subtotal" xfId="30"/>
    <cellStyle name="Smart Title" xfId="5"/>
    <cellStyle name="Smart Total" xfId="31"/>
    <cellStyle name="Title" xfId="6" builtinId="15" customBuiltin="1"/>
    <cellStyle name="Total" xfId="21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12</xdr:row>
          <xdr:rowOff>123825</xdr:rowOff>
        </xdr:from>
        <xdr:to>
          <xdr:col>5</xdr:col>
          <xdr:colOff>114300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23</xdr:row>
          <xdr:rowOff>123825</xdr:rowOff>
        </xdr:from>
        <xdr:to>
          <xdr:col>5</xdr:col>
          <xdr:colOff>114300</xdr:colOff>
          <xdr:row>26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31</xdr:row>
          <xdr:rowOff>152400</xdr:rowOff>
        </xdr:from>
        <xdr:to>
          <xdr:col>5</xdr:col>
          <xdr:colOff>123825</xdr:colOff>
          <xdr:row>34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44</xdr:row>
          <xdr:rowOff>123825</xdr:rowOff>
        </xdr:from>
        <xdr:to>
          <xdr:col>5</xdr:col>
          <xdr:colOff>114300</xdr:colOff>
          <xdr:row>47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61</xdr:row>
          <xdr:rowOff>123825</xdr:rowOff>
        </xdr:from>
        <xdr:to>
          <xdr:col>5</xdr:col>
          <xdr:colOff>114300</xdr:colOff>
          <xdr:row>64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73</xdr:row>
          <xdr:rowOff>123825</xdr:rowOff>
        </xdr:from>
        <xdr:to>
          <xdr:col>5</xdr:col>
          <xdr:colOff>114300</xdr:colOff>
          <xdr:row>76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Answer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12</xdr:row>
          <xdr:rowOff>95250</xdr:rowOff>
        </xdr:from>
        <xdr:to>
          <xdr:col>5</xdr:col>
          <xdr:colOff>209550</xdr:colOff>
          <xdr:row>15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23</xdr:row>
          <xdr:rowOff>57150</xdr:rowOff>
        </xdr:from>
        <xdr:to>
          <xdr:col>5</xdr:col>
          <xdr:colOff>228600</xdr:colOff>
          <xdr:row>26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31</xdr:row>
          <xdr:rowOff>57150</xdr:rowOff>
        </xdr:from>
        <xdr:to>
          <xdr:col>5</xdr:col>
          <xdr:colOff>238125</xdr:colOff>
          <xdr:row>34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45</xdr:row>
          <xdr:rowOff>85725</xdr:rowOff>
        </xdr:from>
        <xdr:to>
          <xdr:col>5</xdr:col>
          <xdr:colOff>314325</xdr:colOff>
          <xdr:row>48</xdr:row>
          <xdr:rowOff>95250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60</xdr:row>
          <xdr:rowOff>95250</xdr:rowOff>
        </xdr:from>
        <xdr:to>
          <xdr:col>6</xdr:col>
          <xdr:colOff>428625</xdr:colOff>
          <xdr:row>63</xdr:row>
          <xdr:rowOff>104775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819150</xdr:colOff>
          <xdr:row>73</xdr:row>
          <xdr:rowOff>9525</xdr:rowOff>
        </xdr:from>
        <xdr:to>
          <xdr:col>6</xdr:col>
          <xdr:colOff>495300</xdr:colOff>
          <xdr:row>76</xdr:row>
          <xdr:rowOff>19050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Problem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acobs040/Documents/Internal%20Work/Modeling/MOOC/Index%20Match%20Template%20Update%20MJ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man003/Downloads/Index%20Match%20Templat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thiede001/Desktop/Course%202%20student%20exercises/Problem%20Solving%20With%20Excel%20_Week%204_Index%20Match_Student%20Vers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Summary"/>
      <sheetName val="Section 1 - Instruction"/>
      <sheetName val="Section 1 - Instruction (ANS)"/>
      <sheetName val="Section 1 - Student Ex."/>
      <sheetName val="Section 1 - Student Ex (ANS)"/>
      <sheetName val="Culminating Exersise"/>
      <sheetName val="Culminating Exersise (ANS)"/>
      <sheetName val="Data S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9">
          <cell r="C9" t="str">
            <v>Revenue</v>
          </cell>
          <cell r="F9" t="str">
            <v>Country</v>
          </cell>
        </row>
        <row r="10">
          <cell r="C10">
            <v>474.5</v>
          </cell>
          <cell r="F10" t="str">
            <v>Panama</v>
          </cell>
        </row>
        <row r="11">
          <cell r="C11">
            <v>1845</v>
          </cell>
          <cell r="F11" t="str">
            <v>Tanzania, United Republic of</v>
          </cell>
        </row>
        <row r="12">
          <cell r="C12">
            <v>139.86000000000001</v>
          </cell>
          <cell r="F12" t="str">
            <v>South Africa</v>
          </cell>
        </row>
        <row r="13">
          <cell r="C13">
            <v>678.30000000000007</v>
          </cell>
          <cell r="F13" t="str">
            <v>Gabon</v>
          </cell>
        </row>
        <row r="14">
          <cell r="C14">
            <v>387</v>
          </cell>
          <cell r="F14" t="str">
            <v>Syrian Arab Republic</v>
          </cell>
        </row>
        <row r="15">
          <cell r="C15">
            <v>492</v>
          </cell>
          <cell r="F15" t="str">
            <v>Guadeloupe</v>
          </cell>
        </row>
        <row r="16">
          <cell r="C16">
            <v>348</v>
          </cell>
          <cell r="F16" t="str">
            <v>Macedonia</v>
          </cell>
        </row>
        <row r="17">
          <cell r="C17">
            <v>468.33000000000004</v>
          </cell>
          <cell r="F17" t="str">
            <v>Kyrgyzstan</v>
          </cell>
        </row>
        <row r="18">
          <cell r="C18">
            <v>873.75</v>
          </cell>
          <cell r="F18" t="str">
            <v>Reunion</v>
          </cell>
        </row>
        <row r="19">
          <cell r="C19">
            <v>461.5</v>
          </cell>
          <cell r="F19" t="str">
            <v>Turks and Caicos Islands</v>
          </cell>
        </row>
        <row r="20">
          <cell r="C20">
            <v>219.78</v>
          </cell>
          <cell r="F20" t="str">
            <v>Netherlands Antilles</v>
          </cell>
        </row>
        <row r="21">
          <cell r="C21">
            <v>459</v>
          </cell>
          <cell r="F21" t="str">
            <v>Macedonia</v>
          </cell>
        </row>
        <row r="22">
          <cell r="C22">
            <v>1269</v>
          </cell>
          <cell r="F22" t="str">
            <v>Tuvalu</v>
          </cell>
        </row>
        <row r="23">
          <cell r="C23">
            <v>422.5</v>
          </cell>
          <cell r="F23" t="str">
            <v>Nepal</v>
          </cell>
        </row>
        <row r="24">
          <cell r="C24">
            <v>2856.5</v>
          </cell>
          <cell r="F24" t="str">
            <v>Malawi</v>
          </cell>
        </row>
        <row r="25">
          <cell r="C25">
            <v>30</v>
          </cell>
          <cell r="F25" t="str">
            <v>Moldova</v>
          </cell>
        </row>
        <row r="26">
          <cell r="C26">
            <v>209.70000000000002</v>
          </cell>
          <cell r="F26" t="str">
            <v>Burkina Faso</v>
          </cell>
        </row>
        <row r="27">
          <cell r="C27">
            <v>603</v>
          </cell>
          <cell r="F27" t="str">
            <v>Bouvet Island</v>
          </cell>
        </row>
        <row r="28">
          <cell r="C28">
            <v>600</v>
          </cell>
          <cell r="F28" t="str">
            <v>Liberia</v>
          </cell>
        </row>
        <row r="29">
          <cell r="C29">
            <v>2059</v>
          </cell>
          <cell r="F29" t="str">
            <v>Vanuatu</v>
          </cell>
        </row>
        <row r="30">
          <cell r="C30">
            <v>607.5</v>
          </cell>
          <cell r="F30" t="str">
            <v>Palau</v>
          </cell>
        </row>
        <row r="31">
          <cell r="C31">
            <v>40.5</v>
          </cell>
          <cell r="F31" t="str">
            <v>Madagascar</v>
          </cell>
        </row>
        <row r="32">
          <cell r="C32">
            <v>621</v>
          </cell>
          <cell r="F32" t="str">
            <v>Yemen</v>
          </cell>
        </row>
        <row r="38">
          <cell r="B38" t="str">
            <v>Personal Info</v>
          </cell>
          <cell r="C38" t="str">
            <v>Bill Rider</v>
          </cell>
          <cell r="D38" t="str">
            <v>Scott Davenport</v>
          </cell>
          <cell r="E38" t="str">
            <v>Rod Filmore</v>
          </cell>
          <cell r="F38" t="str">
            <v>Sara Martin</v>
          </cell>
          <cell r="G38" t="str">
            <v>Jose Smith</v>
          </cell>
          <cell r="H38" t="str">
            <v>Jill Trainor</v>
          </cell>
          <cell r="I38" t="str">
            <v>Liam Su</v>
          </cell>
        </row>
        <row r="39">
          <cell r="B39" t="str">
            <v>Height</v>
          </cell>
        </row>
        <row r="40">
          <cell r="B40" t="str">
            <v>Weight</v>
          </cell>
        </row>
        <row r="41">
          <cell r="B41" t="str">
            <v>Sex</v>
          </cell>
        </row>
        <row r="42">
          <cell r="B42" t="str">
            <v>City</v>
          </cell>
        </row>
        <row r="43">
          <cell r="B43" t="str">
            <v>Hair Color</v>
          </cell>
        </row>
        <row r="44">
          <cell r="B44" t="str">
            <v>Eye Color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Summary"/>
      <sheetName val="Section 1 - Instruction"/>
      <sheetName val="Section 1 - Instruction (ANS)"/>
      <sheetName val="Section 1 - Student Ex."/>
      <sheetName val="Section 1 - Student Ex (ANS)"/>
      <sheetName val="Culminating Exersise"/>
      <sheetName val="Culminating Exersise (ANS)"/>
      <sheetName val="Data S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9">
          <cell r="F9" t="str">
            <v>Country</v>
          </cell>
        </row>
        <row r="10">
          <cell r="F10" t="str">
            <v>Panama</v>
          </cell>
        </row>
        <row r="11">
          <cell r="F11" t="str">
            <v>Tanzania, United Republic of</v>
          </cell>
        </row>
        <row r="12">
          <cell r="F12" t="str">
            <v>South Africa</v>
          </cell>
        </row>
        <row r="13">
          <cell r="F13" t="str">
            <v>Gabon</v>
          </cell>
        </row>
        <row r="14">
          <cell r="F14" t="str">
            <v>Syrian Arab Republic</v>
          </cell>
        </row>
        <row r="15">
          <cell r="F15" t="str">
            <v>Guadeloupe</v>
          </cell>
        </row>
        <row r="16">
          <cell r="F16" t="str">
            <v>Macedonia</v>
          </cell>
        </row>
        <row r="17">
          <cell r="F17" t="str">
            <v>Kyrgyzstan</v>
          </cell>
        </row>
        <row r="18">
          <cell r="F18" t="str">
            <v>Reunion</v>
          </cell>
        </row>
        <row r="19">
          <cell r="F19" t="str">
            <v>Turks and Caicos Islands</v>
          </cell>
        </row>
        <row r="20">
          <cell r="F20" t="str">
            <v>Netherlands Antilles</v>
          </cell>
        </row>
        <row r="21">
          <cell r="F21" t="str">
            <v>Macedonia</v>
          </cell>
        </row>
        <row r="22">
          <cell r="F22" t="str">
            <v>Tuvalu</v>
          </cell>
        </row>
        <row r="23">
          <cell r="F23" t="str">
            <v>Nepal</v>
          </cell>
        </row>
        <row r="24">
          <cell r="F24" t="str">
            <v>Malawi</v>
          </cell>
        </row>
        <row r="25">
          <cell r="F25" t="str">
            <v>Moldova</v>
          </cell>
        </row>
        <row r="26">
          <cell r="F26" t="str">
            <v>Burkina Faso</v>
          </cell>
        </row>
        <row r="27">
          <cell r="F27" t="str">
            <v>Bouvet Island</v>
          </cell>
        </row>
        <row r="28">
          <cell r="F28" t="str">
            <v>Liberia</v>
          </cell>
        </row>
        <row r="29">
          <cell r="F29" t="str">
            <v>Vanuatu</v>
          </cell>
        </row>
        <row r="30">
          <cell r="F30" t="str">
            <v>Palau</v>
          </cell>
        </row>
        <row r="31">
          <cell r="F31" t="str">
            <v>Madagascar</v>
          </cell>
        </row>
        <row r="32">
          <cell r="F32" t="str">
            <v>Yemen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Summary"/>
      <sheetName val="Data Set"/>
      <sheetName val="Section 1 - Instruction"/>
      <sheetName val="Section 1 - ANS"/>
    </sheetNames>
    <sheetDataSet>
      <sheetData sheetId="0"/>
      <sheetData sheetId="1"/>
      <sheetData sheetId="2">
        <row r="9">
          <cell r="C9" t="str">
            <v>Revenue</v>
          </cell>
        </row>
        <row r="10">
          <cell r="C10">
            <v>474.5</v>
          </cell>
        </row>
        <row r="11">
          <cell r="C11">
            <v>1845</v>
          </cell>
        </row>
        <row r="12">
          <cell r="C12">
            <v>139.86000000000001</v>
          </cell>
        </row>
        <row r="13">
          <cell r="C13">
            <v>678.30000000000007</v>
          </cell>
        </row>
        <row r="14">
          <cell r="C14">
            <v>387</v>
          </cell>
        </row>
        <row r="15">
          <cell r="C15">
            <v>492</v>
          </cell>
        </row>
        <row r="16">
          <cell r="C16">
            <v>348</v>
          </cell>
        </row>
        <row r="17">
          <cell r="C17">
            <v>468.33000000000004</v>
          </cell>
        </row>
        <row r="18">
          <cell r="C18">
            <v>873.75</v>
          </cell>
        </row>
        <row r="19">
          <cell r="C19">
            <v>461.5</v>
          </cell>
        </row>
        <row r="20">
          <cell r="C20">
            <v>219.78</v>
          </cell>
        </row>
        <row r="21">
          <cell r="C21">
            <v>459</v>
          </cell>
        </row>
        <row r="22">
          <cell r="C22">
            <v>1269</v>
          </cell>
        </row>
        <row r="23">
          <cell r="C23">
            <v>422.5</v>
          </cell>
        </row>
        <row r="24">
          <cell r="C24">
            <v>2856.5</v>
          </cell>
        </row>
        <row r="25">
          <cell r="C25">
            <v>30</v>
          </cell>
        </row>
        <row r="26">
          <cell r="C26">
            <v>209.70000000000002</v>
          </cell>
        </row>
        <row r="27">
          <cell r="C27">
            <v>603</v>
          </cell>
        </row>
        <row r="28">
          <cell r="C28">
            <v>600</v>
          </cell>
        </row>
        <row r="29">
          <cell r="C29">
            <v>2059</v>
          </cell>
        </row>
        <row r="30">
          <cell r="C30">
            <v>607.5</v>
          </cell>
        </row>
        <row r="31">
          <cell r="C31">
            <v>40.5</v>
          </cell>
        </row>
        <row r="32">
          <cell r="C32">
            <v>621</v>
          </cell>
        </row>
        <row r="38">
          <cell r="B38" t="str">
            <v>Personal Info</v>
          </cell>
          <cell r="C38" t="str">
            <v>Bill Rider</v>
          </cell>
          <cell r="D38" t="str">
            <v>Scott Davenport</v>
          </cell>
          <cell r="E38" t="str">
            <v>Rod Filmore</v>
          </cell>
          <cell r="F38" t="str">
            <v>Sara Martin</v>
          </cell>
          <cell r="G38" t="str">
            <v>Jose Smith</v>
          </cell>
          <cell r="H38" t="str">
            <v>Jill Trainor</v>
          </cell>
          <cell r="I38" t="str">
            <v>Liam Su</v>
          </cell>
        </row>
        <row r="39">
          <cell r="B39" t="str">
            <v>Height</v>
          </cell>
        </row>
        <row r="40">
          <cell r="B40" t="str">
            <v>Weight</v>
          </cell>
        </row>
        <row r="41">
          <cell r="B41" t="str">
            <v>Sex</v>
          </cell>
        </row>
        <row r="42">
          <cell r="B42" t="str">
            <v>City</v>
          </cell>
        </row>
        <row r="43">
          <cell r="B43" t="str">
            <v>Hair Color</v>
          </cell>
        </row>
        <row r="44">
          <cell r="B44" t="str">
            <v>Eye Color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PwC">
  <a:themeElements>
    <a:clrScheme name="PwC Burgundy">
      <a:dk1>
        <a:srgbClr val="000000"/>
      </a:dk1>
      <a:lt1>
        <a:srgbClr val="FFFFFF"/>
      </a:lt1>
      <a:dk2>
        <a:srgbClr val="A32020"/>
      </a:dk2>
      <a:lt2>
        <a:srgbClr val="FFFFFF"/>
      </a:lt2>
      <a:accent1>
        <a:srgbClr val="A32020"/>
      </a:accent1>
      <a:accent2>
        <a:srgbClr val="E0301E"/>
      </a:accent2>
      <a:accent3>
        <a:srgbClr val="602320"/>
      </a:accent3>
      <a:accent4>
        <a:srgbClr val="DB536A"/>
      </a:accent4>
      <a:accent5>
        <a:srgbClr val="DC6900"/>
      </a:accent5>
      <a:accent6>
        <a:srgbClr val="FFB600"/>
      </a:accent6>
      <a:hlink>
        <a:srgbClr val="A32020"/>
      </a:hlink>
      <a:folHlink>
        <a:srgbClr val="A32020"/>
      </a:folHlink>
    </a:clrScheme>
    <a:fontScheme name="PwC">
      <a:majorFont>
        <a:latin typeface="Georgia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ltGray">
        <a:solidFill>
          <a:schemeClr val="tx2"/>
        </a:solidFill>
        <a:ln w="3175"/>
      </a:spPr>
      <a:bodyPr rtlCol="0" anchor="ctr"/>
      <a:lstStyle>
        <a:defPPr algn="ctr">
          <a:defRPr dirty="0" err="1" smtClean="0">
            <a:solidFill>
              <a:schemeClr val="bg1"/>
            </a:solidFill>
            <a:latin typeface="Georgia" pitchFamily="18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wrap="square" lIns="0" tIns="0" rIns="0" bIns="0" rtlCol="0">
        <a:noAutofit/>
      </a:bodyPr>
      <a:lstStyle>
        <a:defPPr indent="-274320">
          <a:spcAft>
            <a:spcPts val="900"/>
          </a:spcAft>
          <a:defRPr sz="2000" dirty="0" err="1" smtClean="0">
            <a:latin typeface="Georgia" pitchFamily="18" charset="0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showGridLines="0" workbookViewId="0">
      <selection activeCell="G1" sqref="G1"/>
    </sheetView>
  </sheetViews>
  <sheetFormatPr defaultRowHeight="12" x14ac:dyDescent="0.2"/>
  <sheetData>
    <row r="1" spans="1:1" ht="18" x14ac:dyDescent="0.25">
      <c r="A1" s="4" t="s">
        <v>33</v>
      </c>
    </row>
    <row r="2" spans="1:1" ht="18" x14ac:dyDescent="0.25">
      <c r="A2" s="4" t="s">
        <v>34</v>
      </c>
    </row>
    <row r="3" spans="1:1" ht="18" x14ac:dyDescent="0.25">
      <c r="A3" s="4" t="s">
        <v>0</v>
      </c>
    </row>
    <row r="4" spans="1:1" ht="12.75" x14ac:dyDescent="0.2">
      <c r="A4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showGridLines="0" zoomScale="80" workbookViewId="0">
      <selection activeCell="G1" sqref="G1"/>
    </sheetView>
  </sheetViews>
  <sheetFormatPr defaultColWidth="6.42578125" defaultRowHeight="12" x14ac:dyDescent="0.2"/>
  <cols>
    <col min="1" max="1" width="6.42578125" style="35"/>
    <col min="2" max="2" width="24.42578125" style="35" customWidth="1"/>
    <col min="3" max="3" width="28.85546875" style="35" customWidth="1"/>
    <col min="4" max="16384" width="6.42578125" style="35"/>
  </cols>
  <sheetData>
    <row r="1" spans="1:3" ht="12.75" x14ac:dyDescent="0.2">
      <c r="A1" s="5" t="str">
        <f>'Cover Page'!A1</f>
        <v>Problem Solving With Excel</v>
      </c>
    </row>
    <row r="2" spans="1:3" ht="12.75" x14ac:dyDescent="0.2">
      <c r="A2" s="5" t="str">
        <f>'Cover Page'!A2</f>
        <v>Week 4</v>
      </c>
    </row>
    <row r="3" spans="1:3" ht="12.75" x14ac:dyDescent="0.2">
      <c r="A3" s="5" t="str">
        <f>'Cover Page'!A3</f>
        <v>Financial Formulas</v>
      </c>
    </row>
    <row r="4" spans="1:3" ht="12.75" x14ac:dyDescent="0.2">
      <c r="A4" s="5" t="s">
        <v>46</v>
      </c>
    </row>
    <row r="7" spans="1:3" ht="12.75" thickBot="1" x14ac:dyDescent="0.25">
      <c r="B7" s="1" t="s">
        <v>40</v>
      </c>
      <c r="C7" s="1" t="s">
        <v>41</v>
      </c>
    </row>
    <row r="8" spans="1:3" x14ac:dyDescent="0.2">
      <c r="B8" s="35" t="s">
        <v>35</v>
      </c>
      <c r="C8" s="35" t="s">
        <v>42</v>
      </c>
    </row>
    <row r="9" spans="1:3" x14ac:dyDescent="0.2">
      <c r="B9" s="35" t="s">
        <v>1</v>
      </c>
      <c r="C9" s="35" t="s">
        <v>43</v>
      </c>
    </row>
    <row r="10" spans="1:3" x14ac:dyDescent="0.2">
      <c r="B10" s="35" t="s">
        <v>44</v>
      </c>
      <c r="C10" s="35" t="s">
        <v>45</v>
      </c>
    </row>
  </sheetData>
  <pageMargins left="0.3" right="0.3" top="0.3" bottom="0.3" header="0.2" footer="0.2"/>
  <pageSetup scale="75" orientation="landscape" horizontalDpi="200" verticalDpi="200" r:id="rId1"/>
  <headerFooter alignWithMargins="0">
    <oddHeader>&amp;CTab: &amp;A</oddHeader>
    <oddFooter>&amp;L&amp;D &amp;T&amp;C&amp;Z&amp;F -- &amp;A&amp;R&amp;P/&amp;N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G17"/>
  <sheetViews>
    <sheetView showGridLines="0" tabSelected="1" workbookViewId="0">
      <selection activeCell="D1" sqref="D1"/>
    </sheetView>
  </sheetViews>
  <sheetFormatPr defaultRowHeight="12" x14ac:dyDescent="0.2"/>
  <cols>
    <col min="2" max="2" width="35" customWidth="1"/>
  </cols>
  <sheetData>
    <row r="1" spans="1:7" ht="12.75" x14ac:dyDescent="0.2">
      <c r="A1" s="5" t="str">
        <f>'Cover Page'!A1</f>
        <v>Problem Solving With Excel</v>
      </c>
    </row>
    <row r="2" spans="1:7" ht="12.75" x14ac:dyDescent="0.2">
      <c r="A2" s="5" t="str">
        <f>'Cover Page'!A2</f>
        <v>Week 4</v>
      </c>
    </row>
    <row r="3" spans="1:7" ht="12.75" x14ac:dyDescent="0.2">
      <c r="A3" s="5" t="str">
        <f>'Cover Page'!A3</f>
        <v>Financial Formulas</v>
      </c>
    </row>
    <row r="4" spans="1:7" ht="12.75" x14ac:dyDescent="0.2">
      <c r="A4" s="5" t="s">
        <v>35</v>
      </c>
    </row>
    <row r="6" spans="1:7" ht="12.75" x14ac:dyDescent="0.2">
      <c r="B6" s="16" t="s">
        <v>31</v>
      </c>
      <c r="C6" s="30">
        <v>2017</v>
      </c>
      <c r="D6" s="30">
        <v>2018</v>
      </c>
      <c r="E6" s="30">
        <v>2019</v>
      </c>
      <c r="F6" s="30">
        <v>2020</v>
      </c>
      <c r="G6" s="30">
        <v>2021</v>
      </c>
    </row>
    <row r="7" spans="1:7" x14ac:dyDescent="0.2">
      <c r="B7" s="7" t="s">
        <v>7</v>
      </c>
      <c r="C7" s="12">
        <v>151</v>
      </c>
      <c r="D7" s="12">
        <v>212</v>
      </c>
      <c r="E7" s="12">
        <v>354</v>
      </c>
      <c r="F7" s="12">
        <v>412</v>
      </c>
      <c r="G7" s="13">
        <v>600</v>
      </c>
    </row>
    <row r="8" spans="1:7" x14ac:dyDescent="0.2">
      <c r="B8" s="7" t="s">
        <v>2</v>
      </c>
      <c r="C8" s="6">
        <v>184.27</v>
      </c>
      <c r="D8" s="6">
        <v>254.56</v>
      </c>
      <c r="E8" s="6">
        <v>308.5</v>
      </c>
      <c r="F8" s="6">
        <v>361.86</v>
      </c>
      <c r="G8" s="8">
        <v>529.98</v>
      </c>
    </row>
    <row r="9" spans="1:7" ht="12.75" thickBot="1" x14ac:dyDescent="0.25">
      <c r="B9" s="9" t="s">
        <v>8</v>
      </c>
      <c r="C9" s="10">
        <f>C7-C8</f>
        <v>-33.27000000000001</v>
      </c>
      <c r="D9" s="10">
        <f t="shared" ref="D9:G9" si="0">D7-D8</f>
        <v>-42.56</v>
      </c>
      <c r="E9" s="10">
        <f t="shared" si="0"/>
        <v>45.5</v>
      </c>
      <c r="F9" s="10">
        <f t="shared" si="0"/>
        <v>50.139999999999986</v>
      </c>
      <c r="G9" s="11">
        <f t="shared" si="0"/>
        <v>70.019999999999982</v>
      </c>
    </row>
    <row r="14" spans="1:7" ht="12.75" x14ac:dyDescent="0.2">
      <c r="B14" s="16" t="s">
        <v>32</v>
      </c>
      <c r="C14" s="30">
        <v>2017</v>
      </c>
      <c r="D14" s="30">
        <v>2018</v>
      </c>
      <c r="E14" s="30">
        <v>2019</v>
      </c>
      <c r="F14" s="30">
        <v>2020</v>
      </c>
      <c r="G14" s="30">
        <v>2021</v>
      </c>
    </row>
    <row r="15" spans="1:7" x14ac:dyDescent="0.2">
      <c r="B15" s="7" t="s">
        <v>7</v>
      </c>
      <c r="C15" s="12">
        <v>12</v>
      </c>
      <c r="D15" s="12">
        <v>44</v>
      </c>
      <c r="E15" s="12">
        <v>93</v>
      </c>
      <c r="F15" s="12">
        <v>58</v>
      </c>
      <c r="G15" s="13">
        <v>80</v>
      </c>
    </row>
    <row r="16" spans="1:7" x14ac:dyDescent="0.2">
      <c r="B16" s="7" t="s">
        <v>2</v>
      </c>
      <c r="C16" s="6">
        <v>27</v>
      </c>
      <c r="D16" s="6">
        <v>36</v>
      </c>
      <c r="E16" s="6">
        <v>151</v>
      </c>
      <c r="F16" s="6">
        <v>112</v>
      </c>
      <c r="G16" s="8">
        <v>47</v>
      </c>
    </row>
    <row r="17" spans="2:7" ht="12.75" thickBot="1" x14ac:dyDescent="0.25">
      <c r="B17" s="9" t="s">
        <v>8</v>
      </c>
      <c r="C17" s="10">
        <f>C15-C16</f>
        <v>-15</v>
      </c>
      <c r="D17" s="10">
        <f t="shared" ref="D17" si="1">D15-D16</f>
        <v>8</v>
      </c>
      <c r="E17" s="10">
        <f t="shared" ref="E17" si="2">E15-E16</f>
        <v>-58</v>
      </c>
      <c r="F17" s="10">
        <f t="shared" ref="F17" si="3">F15-F16</f>
        <v>-54</v>
      </c>
      <c r="G17" s="11">
        <f t="shared" ref="G17" si="4">G15-G16</f>
        <v>33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80"/>
  <sheetViews>
    <sheetView showGridLines="0" topLeftCell="A80" zoomScale="90" zoomScaleNormal="90" workbookViewId="0">
      <selection activeCell="H62" sqref="H62"/>
    </sheetView>
  </sheetViews>
  <sheetFormatPr defaultRowHeight="12" outlineLevelRow="1" x14ac:dyDescent="0.2"/>
  <cols>
    <col min="2" max="2" width="30.85546875" customWidth="1"/>
    <col min="3" max="3" width="18.140625" customWidth="1"/>
    <col min="5" max="5" width="17.42578125" customWidth="1"/>
    <col min="6" max="6" width="14" bestFit="1" customWidth="1"/>
    <col min="7" max="7" width="9" customWidth="1"/>
    <col min="9" max="9" width="34.85546875" customWidth="1"/>
    <col min="10" max="10" width="18.28515625" customWidth="1"/>
    <col min="11" max="11" width="61.42578125" customWidth="1"/>
  </cols>
  <sheetData>
    <row r="1" spans="1:8" ht="12.75" x14ac:dyDescent="0.2">
      <c r="A1" s="5" t="str">
        <f>'Cover Page'!A1</f>
        <v>Problem Solving With Excel</v>
      </c>
    </row>
    <row r="2" spans="1:8" ht="12.75" x14ac:dyDescent="0.2">
      <c r="A2" s="5" t="str">
        <f>'Cover Page'!A2</f>
        <v>Week 4</v>
      </c>
    </row>
    <row r="3" spans="1:8" ht="12.75" x14ac:dyDescent="0.2">
      <c r="A3" s="5" t="str">
        <f>'Cover Page'!A3</f>
        <v>Financial Formulas</v>
      </c>
    </row>
    <row r="4" spans="1:8" ht="12.75" x14ac:dyDescent="0.2">
      <c r="A4" s="5" t="s">
        <v>1</v>
      </c>
    </row>
    <row r="7" spans="1:8" ht="18.75" x14ac:dyDescent="0.3">
      <c r="B7" s="36" t="s">
        <v>38</v>
      </c>
    </row>
    <row r="8" spans="1:8" outlineLevel="1" x14ac:dyDescent="0.2">
      <c r="B8" t="s">
        <v>36</v>
      </c>
    </row>
    <row r="9" spans="1:8" outlineLevel="1" x14ac:dyDescent="0.2"/>
    <row r="10" spans="1:8" ht="18.75" customHeight="1" outlineLevel="1" x14ac:dyDescent="0.2">
      <c r="B10" s="16" t="s">
        <v>6</v>
      </c>
      <c r="C10" s="17"/>
      <c r="E10" s="16" t="s">
        <v>5</v>
      </c>
    </row>
    <row r="11" spans="1:8" ht="18.75" customHeight="1" outlineLevel="1" x14ac:dyDescent="0.2">
      <c r="B11" s="18" t="s">
        <v>3</v>
      </c>
      <c r="C11" s="33">
        <f>NPV($E$11,'Data Set'!C9:G9)</f>
        <v>46.4890208691656</v>
      </c>
      <c r="E11" s="14">
        <v>0.1</v>
      </c>
      <c r="H11" s="38"/>
    </row>
    <row r="12" spans="1:8" ht="18.75" customHeight="1" outlineLevel="1" x14ac:dyDescent="0.2">
      <c r="B12" s="18" t="s">
        <v>4</v>
      </c>
      <c r="C12" s="29">
        <f>IRR('Data Set'!C9:G9,0.05)</f>
        <v>0.36374062797462958</v>
      </c>
    </row>
    <row r="13" spans="1:8" outlineLevel="1" x14ac:dyDescent="0.2"/>
    <row r="14" spans="1:8" outlineLevel="1" x14ac:dyDescent="0.2"/>
    <row r="15" spans="1:8" outlineLevel="1" x14ac:dyDescent="0.2"/>
    <row r="16" spans="1:8" outlineLevel="1" x14ac:dyDescent="0.2"/>
    <row r="17" spans="2:5" ht="18.75" x14ac:dyDescent="0.3">
      <c r="B17" s="36" t="s">
        <v>25</v>
      </c>
    </row>
    <row r="18" spans="2:5" outlineLevel="1" x14ac:dyDescent="0.2">
      <c r="B18" t="s">
        <v>37</v>
      </c>
    </row>
    <row r="19" spans="2:5" outlineLevel="1" x14ac:dyDescent="0.2"/>
    <row r="20" spans="2:5" ht="12.75" outlineLevel="1" x14ac:dyDescent="0.2">
      <c r="B20" s="16" t="s">
        <v>6</v>
      </c>
      <c r="C20" s="17"/>
      <c r="E20" s="16" t="s">
        <v>5</v>
      </c>
    </row>
    <row r="21" spans="2:5" ht="12.75" outlineLevel="1" x14ac:dyDescent="0.2">
      <c r="B21" s="18" t="s">
        <v>3</v>
      </c>
      <c r="C21" s="28">
        <f>NPV(E21,'Data Set'!C17:G17)</f>
        <v>-65.417212940913757</v>
      </c>
      <c r="E21" s="14">
        <v>0.11</v>
      </c>
    </row>
    <row r="22" spans="2:5" ht="14.25" outlineLevel="1" x14ac:dyDescent="0.2">
      <c r="B22" s="18" t="s">
        <v>4</v>
      </c>
      <c r="C22" s="29" t="e">
        <f>IRR('Data Set'!C17:G17,0.05)</f>
        <v>#NUM!</v>
      </c>
      <c r="E22" s="15"/>
    </row>
    <row r="23" spans="2:5" ht="14.25" outlineLevel="1" x14ac:dyDescent="0.2">
      <c r="E23" s="15"/>
    </row>
    <row r="24" spans="2:5" ht="14.25" outlineLevel="1" x14ac:dyDescent="0.2">
      <c r="E24" s="15"/>
    </row>
    <row r="25" spans="2:5" ht="14.25" outlineLevel="1" x14ac:dyDescent="0.2">
      <c r="E25" s="15"/>
    </row>
    <row r="26" spans="2:5" outlineLevel="1" x14ac:dyDescent="0.2"/>
    <row r="27" spans="2:5" ht="18.75" x14ac:dyDescent="0.3">
      <c r="B27" s="36" t="s">
        <v>26</v>
      </c>
    </row>
    <row r="28" spans="2:5" outlineLevel="1" x14ac:dyDescent="0.2">
      <c r="B28" t="s">
        <v>11</v>
      </c>
    </row>
    <row r="29" spans="2:5" outlineLevel="1" x14ac:dyDescent="0.2"/>
    <row r="30" spans="2:5" ht="12.75" outlineLevel="1" x14ac:dyDescent="0.2">
      <c r="B30" s="16" t="s">
        <v>10</v>
      </c>
      <c r="C30" s="17"/>
    </row>
    <row r="31" spans="2:5" ht="12.75" outlineLevel="1" x14ac:dyDescent="0.2">
      <c r="B31" s="18" t="s">
        <v>17</v>
      </c>
      <c r="C31" s="21">
        <v>3.5200000000000002E-2</v>
      </c>
    </row>
    <row r="32" spans="2:5" ht="12.75" outlineLevel="1" x14ac:dyDescent="0.2">
      <c r="B32" s="18" t="s">
        <v>9</v>
      </c>
      <c r="C32" s="23">
        <f>C31/C34</f>
        <v>2.9333333333333334E-3</v>
      </c>
    </row>
    <row r="33" spans="2:10" ht="12.75" outlineLevel="1" x14ac:dyDescent="0.2">
      <c r="B33" s="18" t="s">
        <v>15</v>
      </c>
      <c r="C33" s="20">
        <v>5</v>
      </c>
    </row>
    <row r="34" spans="2:10" ht="12.75" outlineLevel="1" x14ac:dyDescent="0.2">
      <c r="B34" s="18" t="s">
        <v>16</v>
      </c>
      <c r="C34" s="20">
        <v>12</v>
      </c>
    </row>
    <row r="35" spans="2:10" ht="12.75" outlineLevel="1" x14ac:dyDescent="0.2">
      <c r="B35" s="18" t="s">
        <v>12</v>
      </c>
      <c r="C35" s="24">
        <f>C33*C34</f>
        <v>60</v>
      </c>
    </row>
    <row r="36" spans="2:10" ht="12.75" outlineLevel="1" x14ac:dyDescent="0.2">
      <c r="B36" s="18" t="s">
        <v>13</v>
      </c>
      <c r="C36" s="19">
        <v>100000</v>
      </c>
    </row>
    <row r="37" spans="2:10" ht="12.75" outlineLevel="1" x14ac:dyDescent="0.2">
      <c r="B37" s="19" t="s">
        <v>14</v>
      </c>
      <c r="C37" s="22">
        <f>PMT(C32,C35,C36)</f>
        <v>-1820.0702993446293</v>
      </c>
    </row>
    <row r="38" spans="2:10" outlineLevel="1" x14ac:dyDescent="0.2"/>
    <row r="39" spans="2:10" ht="18.75" x14ac:dyDescent="0.3">
      <c r="B39" s="36" t="s">
        <v>27</v>
      </c>
    </row>
    <row r="40" spans="2:10" outlineLevel="1" x14ac:dyDescent="0.2">
      <c r="B40" t="s">
        <v>18</v>
      </c>
    </row>
    <row r="41" spans="2:10" outlineLevel="1" x14ac:dyDescent="0.2">
      <c r="B41" t="s">
        <v>19</v>
      </c>
    </row>
    <row r="42" spans="2:10" ht="14.25" outlineLevel="1" x14ac:dyDescent="0.2">
      <c r="I42" s="45" t="s">
        <v>17</v>
      </c>
      <c r="J42" s="56">
        <v>0.08</v>
      </c>
    </row>
    <row r="43" spans="2:10" s="44" customFormat="1" ht="20.25" customHeight="1" outlineLevel="1" x14ac:dyDescent="0.2">
      <c r="B43" s="42" t="s">
        <v>10</v>
      </c>
      <c r="C43" s="43"/>
      <c r="I43" s="45" t="s">
        <v>9</v>
      </c>
      <c r="J43" s="55">
        <f>J42/J45</f>
        <v>0.04</v>
      </c>
    </row>
    <row r="44" spans="2:10" s="44" customFormat="1" ht="20.25" customHeight="1" outlineLevel="1" x14ac:dyDescent="0.2">
      <c r="B44" s="45" t="s">
        <v>17</v>
      </c>
      <c r="C44" s="46">
        <v>6.7500000000000004E-2</v>
      </c>
      <c r="I44" s="45" t="s">
        <v>15</v>
      </c>
      <c r="J44" s="44">
        <v>5</v>
      </c>
    </row>
    <row r="45" spans="2:10" s="44" customFormat="1" ht="20.25" customHeight="1" outlineLevel="1" x14ac:dyDescent="0.2">
      <c r="B45" s="45" t="s">
        <v>9</v>
      </c>
      <c r="C45" s="47">
        <f>C44/C47</f>
        <v>3.3750000000000002E-2</v>
      </c>
      <c r="I45" s="45" t="s">
        <v>16</v>
      </c>
      <c r="J45" s="44">
        <v>2</v>
      </c>
    </row>
    <row r="46" spans="2:10" s="44" customFormat="1" ht="20.25" customHeight="1" outlineLevel="1" x14ac:dyDescent="0.2">
      <c r="B46" s="45" t="s">
        <v>15</v>
      </c>
      <c r="C46" s="48">
        <v>3</v>
      </c>
      <c r="I46" s="45" t="s">
        <v>12</v>
      </c>
      <c r="J46" s="44">
        <f>J44*J45</f>
        <v>10</v>
      </c>
    </row>
    <row r="47" spans="2:10" s="44" customFormat="1" ht="20.25" customHeight="1" outlineLevel="1" x14ac:dyDescent="0.2">
      <c r="B47" s="45" t="s">
        <v>16</v>
      </c>
      <c r="C47" s="48">
        <v>2</v>
      </c>
      <c r="I47" s="45" t="s">
        <v>13</v>
      </c>
      <c r="J47" s="54">
        <v>1000000</v>
      </c>
    </row>
    <row r="48" spans="2:10" s="44" customFormat="1" ht="20.25" customHeight="1" outlineLevel="1" x14ac:dyDescent="0.2">
      <c r="B48" s="45" t="s">
        <v>12</v>
      </c>
      <c r="C48" s="49">
        <f>C47*C46</f>
        <v>6</v>
      </c>
      <c r="I48" s="50" t="s">
        <v>14</v>
      </c>
      <c r="J48" s="44">
        <f>PMT(J43,J46,J47)</f>
        <v>-123290.94433013652</v>
      </c>
    </row>
    <row r="49" spans="2:10" s="44" customFormat="1" ht="20.25" customHeight="1" outlineLevel="1" x14ac:dyDescent="0.2">
      <c r="B49" s="45" t="s">
        <v>13</v>
      </c>
      <c r="C49" s="50">
        <v>250000</v>
      </c>
      <c r="I49" s="45" t="s">
        <v>20</v>
      </c>
      <c r="J49" s="44">
        <f>J46*(-J48)-J47</f>
        <v>232909.44330136525</v>
      </c>
    </row>
    <row r="50" spans="2:10" s="44" customFormat="1" ht="20.25" customHeight="1" outlineLevel="1" x14ac:dyDescent="0.2">
      <c r="B50" s="50" t="s">
        <v>14</v>
      </c>
      <c r="C50" s="51">
        <f>PMT(C45,C48,C49)</f>
        <v>-46724.592284955579</v>
      </c>
      <c r="F50" s="53"/>
    </row>
    <row r="51" spans="2:10" s="44" customFormat="1" ht="20.25" customHeight="1" outlineLevel="1" x14ac:dyDescent="0.2">
      <c r="B51" s="45" t="s">
        <v>20</v>
      </c>
      <c r="C51" s="52">
        <f>C48*(-C50)-C49</f>
        <v>30347.553709733475</v>
      </c>
    </row>
    <row r="52" spans="2:10" outlineLevel="1" x14ac:dyDescent="0.2"/>
    <row r="53" spans="2:10" outlineLevel="1" x14ac:dyDescent="0.2"/>
    <row r="54" spans="2:10" ht="18.75" x14ac:dyDescent="0.3">
      <c r="B54" s="36" t="s">
        <v>28</v>
      </c>
    </row>
    <row r="55" spans="2:10" outlineLevel="1" x14ac:dyDescent="0.2">
      <c r="B55" t="s">
        <v>23</v>
      </c>
    </row>
    <row r="56" spans="2:10" outlineLevel="1" x14ac:dyDescent="0.2">
      <c r="B56" t="s">
        <v>21</v>
      </c>
    </row>
    <row r="57" spans="2:10" outlineLevel="1" x14ac:dyDescent="0.2"/>
    <row r="58" spans="2:10" s="41" customFormat="1" ht="17.25" customHeight="1" outlineLevel="1" x14ac:dyDescent="0.2">
      <c r="B58" s="39" t="s">
        <v>30</v>
      </c>
      <c r="C58" s="40"/>
    </row>
    <row r="59" spans="2:10" s="41" customFormat="1" ht="17.25" customHeight="1" outlineLevel="1" x14ac:dyDescent="0.2">
      <c r="B59" s="58" t="s">
        <v>17</v>
      </c>
      <c r="C59" s="60">
        <v>3.5200000000000002E-2</v>
      </c>
    </row>
    <row r="60" spans="2:10" s="41" customFormat="1" ht="17.25" customHeight="1" outlineLevel="1" x14ac:dyDescent="0.2">
      <c r="B60" s="58" t="s">
        <v>9</v>
      </c>
      <c r="C60" s="61">
        <f>C59/C62</f>
        <v>2.9333333333333334E-3</v>
      </c>
    </row>
    <row r="61" spans="2:10" s="41" customFormat="1" ht="17.25" customHeight="1" outlineLevel="1" x14ac:dyDescent="0.2">
      <c r="B61" s="58" t="s">
        <v>15</v>
      </c>
      <c r="C61" s="62">
        <f>C63/C62</f>
        <v>2.9274221963685054</v>
      </c>
      <c r="D61" s="57"/>
    </row>
    <row r="62" spans="2:10" s="41" customFormat="1" ht="17.25" customHeight="1" outlineLevel="1" x14ac:dyDescent="0.2">
      <c r="B62" s="58" t="s">
        <v>16</v>
      </c>
      <c r="C62" s="63">
        <v>12</v>
      </c>
    </row>
    <row r="63" spans="2:10" s="41" customFormat="1" ht="17.25" customHeight="1" outlineLevel="1" x14ac:dyDescent="0.2">
      <c r="B63" s="58" t="s">
        <v>12</v>
      </c>
      <c r="C63" s="64">
        <f>NPER(C60,C65,C64)</f>
        <v>35.129066356422065</v>
      </c>
    </row>
    <row r="64" spans="2:10" s="41" customFormat="1" ht="17.25" customHeight="1" outlineLevel="1" x14ac:dyDescent="0.2">
      <c r="B64" s="58" t="s">
        <v>13</v>
      </c>
      <c r="C64" s="65">
        <v>100000</v>
      </c>
    </row>
    <row r="65" spans="2:7" s="41" customFormat="1" ht="17.25" customHeight="1" outlineLevel="1" x14ac:dyDescent="0.2">
      <c r="B65" s="59" t="s">
        <v>14</v>
      </c>
      <c r="C65" s="66">
        <v>-3000</v>
      </c>
    </row>
    <row r="66" spans="2:7" s="41" customFormat="1" ht="17.25" customHeight="1" outlineLevel="1" x14ac:dyDescent="0.2">
      <c r="B66" s="58" t="s">
        <v>22</v>
      </c>
      <c r="C66" s="67">
        <f>(C37*C35*-1-C36)-(C65*C63*-1-C64)</f>
        <v>3817.0188914115715</v>
      </c>
    </row>
    <row r="67" spans="2:7" outlineLevel="1" x14ac:dyDescent="0.2"/>
    <row r="68" spans="2:7" ht="18.75" x14ac:dyDescent="0.3">
      <c r="B68" s="36" t="s">
        <v>29</v>
      </c>
    </row>
    <row r="69" spans="2:7" ht="58.9" customHeight="1" outlineLevel="1" x14ac:dyDescent="0.2">
      <c r="B69" s="37" t="s">
        <v>24</v>
      </c>
      <c r="C69" s="37"/>
      <c r="D69" s="37"/>
      <c r="E69" s="37"/>
      <c r="F69" s="37"/>
      <c r="G69" s="37"/>
    </row>
    <row r="70" spans="2:7" outlineLevel="1" x14ac:dyDescent="0.2"/>
    <row r="71" spans="2:7" ht="12.75" outlineLevel="1" x14ac:dyDescent="0.2">
      <c r="B71" s="16" t="s">
        <v>30</v>
      </c>
      <c r="C71" s="17"/>
    </row>
    <row r="72" spans="2:7" ht="12.75" outlineLevel="1" x14ac:dyDescent="0.2">
      <c r="B72" s="18" t="s">
        <v>17</v>
      </c>
      <c r="C72" s="21">
        <v>0.04</v>
      </c>
    </row>
    <row r="73" spans="2:7" ht="12.75" outlineLevel="1" x14ac:dyDescent="0.2">
      <c r="B73" s="18" t="s">
        <v>9</v>
      </c>
      <c r="C73" s="23">
        <f>C72/C75</f>
        <v>0.01</v>
      </c>
    </row>
    <row r="74" spans="2:7" ht="12.75" outlineLevel="1" x14ac:dyDescent="0.2">
      <c r="B74" s="18" t="s">
        <v>15</v>
      </c>
      <c r="C74" s="27">
        <f>C76/C75</f>
        <v>1.6215169648610905</v>
      </c>
    </row>
    <row r="75" spans="2:7" ht="12.75" outlineLevel="1" x14ac:dyDescent="0.2">
      <c r="B75" s="18" t="s">
        <v>16</v>
      </c>
      <c r="C75" s="20">
        <v>4</v>
      </c>
    </row>
    <row r="76" spans="2:7" ht="12.75" outlineLevel="1" x14ac:dyDescent="0.2">
      <c r="B76" s="18" t="s">
        <v>12</v>
      </c>
      <c r="C76" s="24">
        <f>NPER(C73,C78,C77)</f>
        <v>6.4860678594443621</v>
      </c>
    </row>
    <row r="77" spans="2:7" ht="12.75" outlineLevel="1" x14ac:dyDescent="0.2">
      <c r="B77" s="18" t="s">
        <v>13</v>
      </c>
      <c r="C77" s="19">
        <v>250000</v>
      </c>
    </row>
    <row r="78" spans="2:7" ht="12.75" outlineLevel="1" x14ac:dyDescent="0.2">
      <c r="B78" s="19" t="s">
        <v>14</v>
      </c>
      <c r="C78" s="22">
        <v>-40000</v>
      </c>
    </row>
    <row r="79" spans="2:7" ht="12.75" outlineLevel="1" x14ac:dyDescent="0.2">
      <c r="B79" s="18" t="s">
        <v>22</v>
      </c>
      <c r="C79" s="25"/>
    </row>
    <row r="80" spans="2:7" outlineLevel="1" x14ac:dyDescent="0.2"/>
  </sheetData>
  <mergeCells count="1">
    <mergeCell ref="B69:G6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send_to_answer_1">
                <anchor moveWithCells="1" sizeWithCells="1">
                  <from>
                    <xdr:col>4</xdr:col>
                    <xdr:colOff>19050</xdr:colOff>
                    <xdr:row>12</xdr:row>
                    <xdr:rowOff>123825</xdr:rowOff>
                  </from>
                  <to>
                    <xdr:col>5</xdr:col>
                    <xdr:colOff>114300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send_to_answer_2">
                <anchor moveWithCells="1" sizeWithCells="1">
                  <from>
                    <xdr:col>4</xdr:col>
                    <xdr:colOff>19050</xdr:colOff>
                    <xdr:row>23</xdr:row>
                    <xdr:rowOff>123825</xdr:rowOff>
                  </from>
                  <to>
                    <xdr:col>5</xdr:col>
                    <xdr:colOff>114300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send_to_answer_3">
                <anchor moveWithCells="1" sizeWithCells="1">
                  <from>
                    <xdr:col>4</xdr:col>
                    <xdr:colOff>28575</xdr:colOff>
                    <xdr:row>31</xdr:row>
                    <xdr:rowOff>152400</xdr:rowOff>
                  </from>
                  <to>
                    <xdr:col>5</xdr:col>
                    <xdr:colOff>123825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send_to_answer_4">
                <anchor moveWithCells="1" sizeWithCells="1">
                  <from>
                    <xdr:col>4</xdr:col>
                    <xdr:colOff>19050</xdr:colOff>
                    <xdr:row>44</xdr:row>
                    <xdr:rowOff>123825</xdr:rowOff>
                  </from>
                  <to>
                    <xdr:col>5</xdr:col>
                    <xdr:colOff>114300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hisWorkbook.send_to_answer_5">
                <anchor moveWithCells="1" sizeWithCells="1">
                  <from>
                    <xdr:col>4</xdr:col>
                    <xdr:colOff>19050</xdr:colOff>
                    <xdr:row>61</xdr:row>
                    <xdr:rowOff>123825</xdr:rowOff>
                  </from>
                  <to>
                    <xdr:col>5</xdr:col>
                    <xdr:colOff>114300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ThisWorkbook.send_to_answer_6">
                <anchor moveWithCells="1" sizeWithCells="1">
                  <from>
                    <xdr:col>4</xdr:col>
                    <xdr:colOff>19050</xdr:colOff>
                    <xdr:row>73</xdr:row>
                    <xdr:rowOff>123825</xdr:rowOff>
                  </from>
                  <to>
                    <xdr:col>5</xdr:col>
                    <xdr:colOff>114300</xdr:colOff>
                    <xdr:row>76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G80"/>
  <sheetViews>
    <sheetView showGridLines="0" topLeftCell="A36" zoomScale="90" zoomScaleNormal="90" workbookViewId="0">
      <selection activeCell="E48" sqref="E48"/>
    </sheetView>
  </sheetViews>
  <sheetFormatPr defaultRowHeight="12" outlineLevelRow="1" x14ac:dyDescent="0.2"/>
  <cols>
    <col min="2" max="2" width="30.85546875" customWidth="1"/>
    <col min="3" max="3" width="18.140625" customWidth="1"/>
    <col min="4" max="4" width="12.42578125" customWidth="1"/>
    <col min="5" max="5" width="17.42578125" customWidth="1"/>
    <col min="7" max="7" width="9" customWidth="1"/>
    <col min="9" max="9" width="34.85546875" customWidth="1"/>
    <col min="10" max="10" width="3.42578125" customWidth="1"/>
    <col min="11" max="11" width="61.42578125" customWidth="1"/>
  </cols>
  <sheetData>
    <row r="1" spans="1:5" ht="12.75" x14ac:dyDescent="0.2">
      <c r="A1" s="5" t="str">
        <f>'Cover Page'!A1</f>
        <v>Problem Solving With Excel</v>
      </c>
    </row>
    <row r="2" spans="1:5" ht="12.75" x14ac:dyDescent="0.2">
      <c r="A2" s="5" t="str">
        <f>'Cover Page'!A2</f>
        <v>Week 4</v>
      </c>
    </row>
    <row r="3" spans="1:5" ht="12.75" x14ac:dyDescent="0.2">
      <c r="A3" s="5" t="str">
        <f>'Cover Page'!A3</f>
        <v>Financial Formulas</v>
      </c>
    </row>
    <row r="4" spans="1:5" ht="12.75" x14ac:dyDescent="0.2">
      <c r="A4" s="5" t="s">
        <v>1</v>
      </c>
    </row>
    <row r="7" spans="1:5" ht="18.75" x14ac:dyDescent="0.3">
      <c r="B7" s="36" t="s">
        <v>38</v>
      </c>
    </row>
    <row r="8" spans="1:5" outlineLevel="1" x14ac:dyDescent="0.2">
      <c r="B8" t="s">
        <v>36</v>
      </c>
    </row>
    <row r="9" spans="1:5" outlineLevel="1" x14ac:dyDescent="0.2"/>
    <row r="10" spans="1:5" ht="12.75" outlineLevel="1" x14ac:dyDescent="0.2">
      <c r="B10" s="16" t="s">
        <v>6</v>
      </c>
      <c r="C10" s="17"/>
      <c r="E10" s="16" t="s">
        <v>5</v>
      </c>
    </row>
    <row r="11" spans="1:5" ht="12.75" outlineLevel="1" x14ac:dyDescent="0.2">
      <c r="B11" s="18" t="s">
        <v>3</v>
      </c>
      <c r="C11" s="33">
        <f>NPV(E11,'Data Set'!C9:G9)</f>
        <v>46.4890208691656</v>
      </c>
      <c r="E11" s="14">
        <v>0.1</v>
      </c>
    </row>
    <row r="12" spans="1:5" ht="12.75" outlineLevel="1" x14ac:dyDescent="0.2">
      <c r="B12" s="18" t="s">
        <v>4</v>
      </c>
      <c r="C12" s="29">
        <f>IRR('Data Set'!C9:G9,0.05)</f>
        <v>0.36374062797462958</v>
      </c>
    </row>
    <row r="13" spans="1:5" outlineLevel="1" x14ac:dyDescent="0.2"/>
    <row r="14" spans="1:5" outlineLevel="1" x14ac:dyDescent="0.2"/>
    <row r="15" spans="1:5" outlineLevel="1" x14ac:dyDescent="0.2"/>
    <row r="16" spans="1:5" outlineLevel="1" x14ac:dyDescent="0.2"/>
    <row r="17" spans="2:5" ht="18.75" x14ac:dyDescent="0.3">
      <c r="B17" s="36" t="s">
        <v>25</v>
      </c>
    </row>
    <row r="18" spans="2:5" outlineLevel="1" x14ac:dyDescent="0.2">
      <c r="B18" t="s">
        <v>37</v>
      </c>
    </row>
    <row r="19" spans="2:5" outlineLevel="1" x14ac:dyDescent="0.2"/>
    <row r="20" spans="2:5" ht="12.75" outlineLevel="1" x14ac:dyDescent="0.2">
      <c r="B20" s="16" t="s">
        <v>6</v>
      </c>
      <c r="C20" s="17"/>
      <c r="E20" s="16" t="s">
        <v>5</v>
      </c>
    </row>
    <row r="21" spans="2:5" ht="12.75" outlineLevel="1" x14ac:dyDescent="0.2">
      <c r="B21" s="18" t="s">
        <v>3</v>
      </c>
      <c r="C21" s="33">
        <f>NPV(E21,'Data Set'!C17:G17)</f>
        <v>-65.417212940913757</v>
      </c>
      <c r="E21" s="14">
        <v>0.11</v>
      </c>
    </row>
    <row r="22" spans="2:5" ht="14.25" outlineLevel="1" x14ac:dyDescent="0.2">
      <c r="B22" s="18" t="s">
        <v>4</v>
      </c>
      <c r="C22" s="29" t="e">
        <f>IRR('Data Set'!C17:G17,0.05)</f>
        <v>#NUM!</v>
      </c>
      <c r="E22" s="15" t="s">
        <v>39</v>
      </c>
    </row>
    <row r="23" spans="2:5" ht="14.25" outlineLevel="1" x14ac:dyDescent="0.2">
      <c r="E23" s="15"/>
    </row>
    <row r="24" spans="2:5" ht="14.25" outlineLevel="1" x14ac:dyDescent="0.2">
      <c r="E24" s="15"/>
    </row>
    <row r="25" spans="2:5" ht="14.25" outlineLevel="1" x14ac:dyDescent="0.2">
      <c r="E25" s="15"/>
    </row>
    <row r="26" spans="2:5" outlineLevel="1" x14ac:dyDescent="0.2"/>
    <row r="27" spans="2:5" ht="18.75" x14ac:dyDescent="0.3">
      <c r="B27" s="36" t="s">
        <v>26</v>
      </c>
    </row>
    <row r="28" spans="2:5" outlineLevel="1" x14ac:dyDescent="0.2">
      <c r="B28" t="s">
        <v>11</v>
      </c>
    </row>
    <row r="29" spans="2:5" outlineLevel="1" x14ac:dyDescent="0.2"/>
    <row r="30" spans="2:5" ht="12.75" outlineLevel="1" x14ac:dyDescent="0.2">
      <c r="B30" s="16" t="s">
        <v>10</v>
      </c>
      <c r="C30" s="17"/>
    </row>
    <row r="31" spans="2:5" ht="12.75" outlineLevel="1" x14ac:dyDescent="0.2">
      <c r="B31" s="18" t="s">
        <v>17</v>
      </c>
      <c r="C31" s="21">
        <v>3.5200000000000002E-2</v>
      </c>
    </row>
    <row r="32" spans="2:5" ht="12.75" outlineLevel="1" x14ac:dyDescent="0.2">
      <c r="B32" s="18" t="s">
        <v>9</v>
      </c>
      <c r="C32" s="23">
        <f>C31/C34</f>
        <v>2.9333333333333334E-3</v>
      </c>
    </row>
    <row r="33" spans="2:3" ht="12.75" outlineLevel="1" x14ac:dyDescent="0.2">
      <c r="B33" s="18" t="s">
        <v>15</v>
      </c>
      <c r="C33" s="20">
        <v>5</v>
      </c>
    </row>
    <row r="34" spans="2:3" ht="12.75" outlineLevel="1" x14ac:dyDescent="0.2">
      <c r="B34" s="18" t="s">
        <v>16</v>
      </c>
      <c r="C34" s="20">
        <v>12</v>
      </c>
    </row>
    <row r="35" spans="2:3" ht="12.75" outlineLevel="1" x14ac:dyDescent="0.2">
      <c r="B35" s="18" t="s">
        <v>12</v>
      </c>
      <c r="C35" s="24">
        <f>C33*C34</f>
        <v>60</v>
      </c>
    </row>
    <row r="36" spans="2:3" ht="12.75" outlineLevel="1" x14ac:dyDescent="0.2">
      <c r="B36" s="18" t="s">
        <v>13</v>
      </c>
      <c r="C36" s="19">
        <v>100000</v>
      </c>
    </row>
    <row r="37" spans="2:3" ht="12.75" outlineLevel="1" x14ac:dyDescent="0.2">
      <c r="B37" s="19" t="s">
        <v>14</v>
      </c>
      <c r="C37" s="22">
        <f>PMT(C32,C35,C36)</f>
        <v>-1820.0702993446293</v>
      </c>
    </row>
    <row r="38" spans="2:3" outlineLevel="1" x14ac:dyDescent="0.2"/>
    <row r="39" spans="2:3" ht="18.75" x14ac:dyDescent="0.3">
      <c r="B39" s="36" t="s">
        <v>27</v>
      </c>
    </row>
    <row r="40" spans="2:3" outlineLevel="1" x14ac:dyDescent="0.2">
      <c r="B40" t="s">
        <v>18</v>
      </c>
    </row>
    <row r="41" spans="2:3" outlineLevel="1" x14ac:dyDescent="0.2">
      <c r="B41" t="s">
        <v>19</v>
      </c>
    </row>
    <row r="42" spans="2:3" outlineLevel="1" x14ac:dyDescent="0.2"/>
    <row r="43" spans="2:3" ht="12.75" outlineLevel="1" x14ac:dyDescent="0.2">
      <c r="B43" s="16" t="s">
        <v>10</v>
      </c>
      <c r="C43" s="17"/>
    </row>
    <row r="44" spans="2:3" ht="12.75" outlineLevel="1" x14ac:dyDescent="0.2">
      <c r="B44" s="18" t="s">
        <v>17</v>
      </c>
      <c r="C44" s="21">
        <v>6.7500000000000004E-2</v>
      </c>
    </row>
    <row r="45" spans="2:3" ht="12.75" outlineLevel="1" x14ac:dyDescent="0.2">
      <c r="B45" s="18" t="s">
        <v>9</v>
      </c>
      <c r="C45" s="23">
        <f>C44/C47</f>
        <v>3.3750000000000002E-2</v>
      </c>
    </row>
    <row r="46" spans="2:3" ht="12.75" outlineLevel="1" x14ac:dyDescent="0.2">
      <c r="B46" s="18" t="s">
        <v>15</v>
      </c>
      <c r="C46" s="20">
        <v>3</v>
      </c>
    </row>
    <row r="47" spans="2:3" ht="12.75" outlineLevel="1" x14ac:dyDescent="0.2">
      <c r="B47" s="18" t="s">
        <v>16</v>
      </c>
      <c r="C47" s="20">
        <v>2</v>
      </c>
    </row>
    <row r="48" spans="2:3" ht="12.75" outlineLevel="1" x14ac:dyDescent="0.2">
      <c r="B48" s="18" t="s">
        <v>12</v>
      </c>
      <c r="C48" s="24">
        <f>C46*C47</f>
        <v>6</v>
      </c>
    </row>
    <row r="49" spans="2:4" ht="12.75" outlineLevel="1" x14ac:dyDescent="0.2">
      <c r="B49" s="18" t="s">
        <v>13</v>
      </c>
      <c r="C49" s="19">
        <v>250000</v>
      </c>
    </row>
    <row r="50" spans="2:4" ht="12.75" outlineLevel="1" x14ac:dyDescent="0.2">
      <c r="B50" s="19" t="s">
        <v>14</v>
      </c>
      <c r="C50" s="22">
        <f>PMT(C45,C48,C49)</f>
        <v>-46724.592284955579</v>
      </c>
    </row>
    <row r="51" spans="2:4" ht="12.75" outlineLevel="1" x14ac:dyDescent="0.2">
      <c r="B51" s="18" t="s">
        <v>20</v>
      </c>
      <c r="C51" s="25">
        <f>C49-C50*-C48</f>
        <v>-30347.553709733475</v>
      </c>
    </row>
    <row r="52" spans="2:4" outlineLevel="1" x14ac:dyDescent="0.2"/>
    <row r="53" spans="2:4" outlineLevel="1" x14ac:dyDescent="0.2"/>
    <row r="54" spans="2:4" ht="18.75" x14ac:dyDescent="0.3">
      <c r="B54" s="36" t="s">
        <v>28</v>
      </c>
    </row>
    <row r="55" spans="2:4" outlineLevel="1" x14ac:dyDescent="0.2">
      <c r="B55" t="s">
        <v>23</v>
      </c>
    </row>
    <row r="56" spans="2:4" outlineLevel="1" x14ac:dyDescent="0.2">
      <c r="B56" t="s">
        <v>21</v>
      </c>
    </row>
    <row r="57" spans="2:4" outlineLevel="1" x14ac:dyDescent="0.2"/>
    <row r="58" spans="2:4" ht="12.75" outlineLevel="1" x14ac:dyDescent="0.2">
      <c r="B58" s="16" t="s">
        <v>30</v>
      </c>
      <c r="C58" s="17"/>
    </row>
    <row r="59" spans="2:4" ht="12.75" outlineLevel="1" x14ac:dyDescent="0.2">
      <c r="B59" s="18" t="s">
        <v>17</v>
      </c>
      <c r="C59" s="21">
        <v>3.5200000000000002E-2</v>
      </c>
    </row>
    <row r="60" spans="2:4" ht="12.75" outlineLevel="1" x14ac:dyDescent="0.2">
      <c r="B60" s="18" t="s">
        <v>9</v>
      </c>
      <c r="C60" s="31">
        <f>C59/C62</f>
        <v>2.9333333333333334E-3</v>
      </c>
    </row>
    <row r="61" spans="2:4" ht="12.75" outlineLevel="1" x14ac:dyDescent="0.2">
      <c r="B61" s="18" t="s">
        <v>15</v>
      </c>
      <c r="C61" s="26">
        <f>C63/C62</f>
        <v>2.9274221963685054</v>
      </c>
      <c r="D61" s="3"/>
    </row>
    <row r="62" spans="2:4" ht="12.75" outlineLevel="1" x14ac:dyDescent="0.2">
      <c r="B62" s="18" t="s">
        <v>16</v>
      </c>
      <c r="C62" s="20">
        <v>12</v>
      </c>
    </row>
    <row r="63" spans="2:4" ht="12.75" outlineLevel="1" x14ac:dyDescent="0.2">
      <c r="B63" s="18" t="s">
        <v>12</v>
      </c>
      <c r="C63" s="24">
        <f>NPER(C60,C65,C64)</f>
        <v>35.129066356422065</v>
      </c>
    </row>
    <row r="64" spans="2:4" ht="12.75" outlineLevel="1" x14ac:dyDescent="0.2">
      <c r="B64" s="18" t="s">
        <v>13</v>
      </c>
      <c r="C64" s="19">
        <v>100000</v>
      </c>
    </row>
    <row r="65" spans="2:7" ht="12.75" outlineLevel="1" x14ac:dyDescent="0.2">
      <c r="B65" s="19" t="s">
        <v>14</v>
      </c>
      <c r="C65" s="22">
        <v>-3000</v>
      </c>
    </row>
    <row r="66" spans="2:7" ht="12.75" outlineLevel="1" x14ac:dyDescent="0.2">
      <c r="B66" s="18" t="s">
        <v>22</v>
      </c>
      <c r="C66" s="32">
        <f>(C37*C35*-1-C36)-(C65*C63*-1-C64)</f>
        <v>3817.0188914115715</v>
      </c>
    </row>
    <row r="67" spans="2:7" outlineLevel="1" x14ac:dyDescent="0.2"/>
    <row r="68" spans="2:7" ht="18.75" x14ac:dyDescent="0.3">
      <c r="B68" s="36" t="s">
        <v>29</v>
      </c>
    </row>
    <row r="69" spans="2:7" ht="58.9" customHeight="1" outlineLevel="1" x14ac:dyDescent="0.2">
      <c r="B69" s="37" t="s">
        <v>24</v>
      </c>
      <c r="C69" s="37"/>
      <c r="D69" s="37"/>
      <c r="E69" s="37"/>
      <c r="F69" s="37"/>
      <c r="G69" s="37"/>
    </row>
    <row r="70" spans="2:7" outlineLevel="1" x14ac:dyDescent="0.2"/>
    <row r="71" spans="2:7" ht="12.75" outlineLevel="1" x14ac:dyDescent="0.2">
      <c r="B71" s="16" t="s">
        <v>30</v>
      </c>
      <c r="C71" s="17"/>
    </row>
    <row r="72" spans="2:7" ht="12.75" outlineLevel="1" x14ac:dyDescent="0.2">
      <c r="B72" s="18" t="s">
        <v>17</v>
      </c>
      <c r="C72" s="21">
        <v>0.04</v>
      </c>
    </row>
    <row r="73" spans="2:7" ht="12.75" outlineLevel="1" x14ac:dyDescent="0.2">
      <c r="B73" s="18" t="s">
        <v>9</v>
      </c>
      <c r="C73" s="23">
        <f>C72/C75</f>
        <v>0.01</v>
      </c>
    </row>
    <row r="74" spans="2:7" ht="12.75" outlineLevel="1" x14ac:dyDescent="0.2">
      <c r="B74" s="18" t="s">
        <v>15</v>
      </c>
      <c r="C74" s="27">
        <f>C76/C75</f>
        <v>0.99999999999999967</v>
      </c>
    </row>
    <row r="75" spans="2:7" ht="12.75" outlineLevel="1" x14ac:dyDescent="0.2">
      <c r="B75" s="18" t="s">
        <v>16</v>
      </c>
      <c r="C75" s="20">
        <v>4</v>
      </c>
    </row>
    <row r="76" spans="2:7" ht="12.75" outlineLevel="1" x14ac:dyDescent="0.2">
      <c r="B76" s="18" t="s">
        <v>12</v>
      </c>
      <c r="C76" s="24">
        <f>NPER(C73,C78,C77)</f>
        <v>3.9999999999999987</v>
      </c>
    </row>
    <row r="77" spans="2:7" ht="12.75" outlineLevel="1" x14ac:dyDescent="0.2">
      <c r="B77" s="18" t="s">
        <v>13</v>
      </c>
      <c r="C77" s="19">
        <v>250000</v>
      </c>
    </row>
    <row r="78" spans="2:7" ht="12.75" outlineLevel="1" x14ac:dyDescent="0.2">
      <c r="B78" s="19" t="s">
        <v>14</v>
      </c>
      <c r="C78" s="22">
        <f>PMT(C73,C75,C77)</f>
        <v>-64070.273477915107</v>
      </c>
      <c r="D78" s="34"/>
    </row>
    <row r="79" spans="2:7" ht="12.75" outlineLevel="1" x14ac:dyDescent="0.2">
      <c r="B79" s="18" t="s">
        <v>22</v>
      </c>
      <c r="C79" s="25">
        <f>(C51-(C77-C76*-C78))*-1</f>
        <v>24066.459798073134</v>
      </c>
    </row>
    <row r="80" spans="2:7" outlineLevel="1" x14ac:dyDescent="0.2"/>
  </sheetData>
  <mergeCells count="1">
    <mergeCell ref="B69:G6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send_to_problem_1">
                <anchor moveWithCells="1" sizeWithCells="1">
                  <from>
                    <xdr:col>3</xdr:col>
                    <xdr:colOff>752475</xdr:colOff>
                    <xdr:row>12</xdr:row>
                    <xdr:rowOff>95250</xdr:rowOff>
                  </from>
                  <to>
                    <xdr:col>5</xdr:col>
                    <xdr:colOff>209550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ThisWorkbook.send_to_problem_2">
                <anchor moveWithCells="1" sizeWithCells="1">
                  <from>
                    <xdr:col>3</xdr:col>
                    <xdr:colOff>762000</xdr:colOff>
                    <xdr:row>23</xdr:row>
                    <xdr:rowOff>57150</xdr:rowOff>
                  </from>
                  <to>
                    <xdr:col>5</xdr:col>
                    <xdr:colOff>228600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ThisWorkbook.send_to_problem_3">
                <anchor moveWithCells="1" sizeWithCells="1">
                  <from>
                    <xdr:col>3</xdr:col>
                    <xdr:colOff>771525</xdr:colOff>
                    <xdr:row>31</xdr:row>
                    <xdr:rowOff>57150</xdr:rowOff>
                  </from>
                  <to>
                    <xdr:col>5</xdr:col>
                    <xdr:colOff>238125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ThisWorkbook.send_to_problem_4">
                <anchor moveWithCells="1" sizeWithCells="1">
                  <from>
                    <xdr:col>4</xdr:col>
                    <xdr:colOff>19050</xdr:colOff>
                    <xdr:row>45</xdr:row>
                    <xdr:rowOff>85725</xdr:rowOff>
                  </from>
                  <to>
                    <xdr:col>5</xdr:col>
                    <xdr:colOff>314325</xdr:colOff>
                    <xdr:row>48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ThisWorkbook.send_to_problem_5">
                <anchor moveWithCells="1" sizeWithCells="1">
                  <from>
                    <xdr:col>4</xdr:col>
                    <xdr:colOff>752475</xdr:colOff>
                    <xdr:row>60</xdr:row>
                    <xdr:rowOff>95250</xdr:rowOff>
                  </from>
                  <to>
                    <xdr:col>6</xdr:col>
                    <xdr:colOff>428625</xdr:colOff>
                    <xdr:row>63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Button 10">
              <controlPr defaultSize="0" print="0" autoFill="0" autoPict="0" macro="[0]!ThisWorkbook.send_to_problem_6">
                <anchor moveWithCells="1" sizeWithCells="1">
                  <from>
                    <xdr:col>4</xdr:col>
                    <xdr:colOff>819150</xdr:colOff>
                    <xdr:row>73</xdr:row>
                    <xdr:rowOff>9525</xdr:rowOff>
                  </from>
                  <to>
                    <xdr:col>6</xdr:col>
                    <xdr:colOff>495300</xdr:colOff>
                    <xdr:row>76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Cover Page</vt:lpstr>
      <vt:lpstr>Table of Contents</vt:lpstr>
      <vt:lpstr>Data Set</vt:lpstr>
      <vt:lpstr>Section 1 - Instruction</vt:lpstr>
      <vt:lpstr>Section 1 - ANS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G Man</dc:creator>
  <cp:lastModifiedBy>Windows User</cp:lastModifiedBy>
  <dcterms:created xsi:type="dcterms:W3CDTF">2014-11-18T17:16:50Z</dcterms:created>
  <dcterms:modified xsi:type="dcterms:W3CDTF">2018-07-06T20:39:20Z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randFormat">
    <vt:lpwstr>1.0</vt:lpwstr>
  </property>
  <property fmtid="{D5CDD505-2E9C-101B-9397-08002B2CF9AE}" pid="3" name="Smrt_NotesFontSize">
    <vt:lpwstr>8</vt:lpwstr>
  </property>
  <property fmtid="{D5CDD505-2E9C-101B-9397-08002B2CF9AE}" pid="4" name="Smrt_WorkbookThemeColor">
    <vt:lpwstr>PwC Burgundy</vt:lpwstr>
  </property>
  <property fmtid="{D5CDD505-2E9C-101B-9397-08002B2CF9AE}" pid="5" name="Smrt_WorkbookNumberDisplay">
    <vt:lpwstr>0</vt:lpwstr>
  </property>
  <property fmtid="{D5CDD505-2E9C-101B-9397-08002B2CF9AE}" pid="6" name="Smrt_WorkbookPercentageDisplay">
    <vt:lpwstr>0</vt:lpwstr>
  </property>
</Properties>
</file>