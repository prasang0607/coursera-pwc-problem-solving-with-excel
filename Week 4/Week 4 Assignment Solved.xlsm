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PS\Downloads\Problem Solving with Excel\Week 4\"/>
    </mc:Choice>
  </mc:AlternateContent>
  <bookViews>
    <workbookView xWindow="0" yWindow="0" windowWidth="24000" windowHeight="9735" activeTab="2"/>
  </bookViews>
  <sheets>
    <sheet name="Introduction" sheetId="1" r:id="rId1"/>
    <sheet name="Data Set" sheetId="6" r:id="rId2"/>
    <sheet name="Culminating Exersise" sheetId="8" r:id="rId3"/>
    <sheet name="Culminating Exersise - (ANS)" sheetId="18" state="hidden" r:id="rId4"/>
  </sheets>
  <definedNames>
    <definedName name="SocialMedia_Mentions">'Data Set'!$B$7:$B$106</definedName>
    <definedName name="Website_Visits">'Data Set'!$C$7:$C$106</definedName>
  </definedNames>
  <calcPr calcId="162913" calcOnSave="0"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130" i="8" l="1"/>
  <c r="C130" i="1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23" i="8"/>
  <c r="E23" i="1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23" i="8"/>
  <c r="D25" i="18"/>
  <c r="E25" i="18"/>
  <c r="D122" i="18"/>
  <c r="D121" i="18"/>
  <c r="D120" i="18"/>
  <c r="D119" i="18"/>
  <c r="D118" i="18"/>
  <c r="E118" i="18"/>
  <c r="D117" i="18"/>
  <c r="E117" i="18"/>
  <c r="D116" i="18"/>
  <c r="E116" i="18"/>
  <c r="D115" i="18"/>
  <c r="E115" i="18"/>
  <c r="D114" i="18"/>
  <c r="D113" i="18"/>
  <c r="D112" i="18"/>
  <c r="E112" i="18"/>
  <c r="D111" i="18"/>
  <c r="D110" i="18"/>
  <c r="E110" i="18"/>
  <c r="D109" i="18"/>
  <c r="E109" i="18"/>
  <c r="D108" i="18"/>
  <c r="E108" i="18"/>
  <c r="D107" i="18"/>
  <c r="E107" i="18"/>
  <c r="D106" i="18"/>
  <c r="D105" i="18"/>
  <c r="E105" i="18"/>
  <c r="D104" i="18"/>
  <c r="D103" i="18"/>
  <c r="E103" i="18"/>
  <c r="D102" i="18"/>
  <c r="E102" i="18"/>
  <c r="D101" i="18"/>
  <c r="E101" i="18"/>
  <c r="D100" i="18"/>
  <c r="E100" i="18"/>
  <c r="D99" i="18"/>
  <c r="E99" i="18"/>
  <c r="D98" i="18"/>
  <c r="D97" i="18"/>
  <c r="D96" i="18"/>
  <c r="E96" i="18"/>
  <c r="D95" i="18"/>
  <c r="D94" i="18"/>
  <c r="E94" i="18"/>
  <c r="D93" i="18"/>
  <c r="E93" i="18"/>
  <c r="D92" i="18"/>
  <c r="E92" i="18"/>
  <c r="D91" i="18"/>
  <c r="E91" i="18"/>
  <c r="D90" i="18"/>
  <c r="D89" i="18"/>
  <c r="D88" i="18"/>
  <c r="D87" i="18"/>
  <c r="D86" i="18"/>
  <c r="E86" i="18"/>
  <c r="D85" i="18"/>
  <c r="E85" i="18"/>
  <c r="D84" i="18"/>
  <c r="E84" i="18"/>
  <c r="D83" i="18"/>
  <c r="E83" i="18"/>
  <c r="D82" i="18"/>
  <c r="D81" i="18"/>
  <c r="D80" i="18"/>
  <c r="E80" i="18"/>
  <c r="D79" i="18"/>
  <c r="D78" i="18"/>
  <c r="E78" i="18"/>
  <c r="D77" i="18"/>
  <c r="E77" i="18"/>
  <c r="D76" i="18"/>
  <c r="E76" i="18"/>
  <c r="D75" i="18"/>
  <c r="E75" i="18"/>
  <c r="D74" i="18"/>
  <c r="D73" i="18"/>
  <c r="E73" i="18"/>
  <c r="D72" i="18"/>
  <c r="D71" i="18"/>
  <c r="E71" i="18"/>
  <c r="D70" i="18"/>
  <c r="E70" i="18"/>
  <c r="D69" i="18"/>
  <c r="E69" i="18"/>
  <c r="D68" i="18"/>
  <c r="E68" i="18"/>
  <c r="D67" i="18"/>
  <c r="E67" i="18"/>
  <c r="D66" i="18"/>
  <c r="D65" i="18"/>
  <c r="E65" i="18"/>
  <c r="D64" i="18"/>
  <c r="E64" i="18"/>
  <c r="D63" i="18"/>
  <c r="D62" i="18"/>
  <c r="E62" i="18"/>
  <c r="D61" i="18"/>
  <c r="E61" i="18"/>
  <c r="D60" i="18"/>
  <c r="E60" i="18"/>
  <c r="D59" i="18"/>
  <c r="E59" i="18"/>
  <c r="D58" i="18"/>
  <c r="D57" i="18"/>
  <c r="D56" i="18"/>
  <c r="D55" i="18"/>
  <c r="D54" i="18"/>
  <c r="E54" i="18"/>
  <c r="D53" i="18"/>
  <c r="E53" i="18"/>
  <c r="D52" i="18"/>
  <c r="E52" i="18"/>
  <c r="D51" i="18"/>
  <c r="E51" i="18"/>
  <c r="D50" i="18"/>
  <c r="D49" i="18"/>
  <c r="D48" i="18"/>
  <c r="E48" i="18"/>
  <c r="D47" i="18"/>
  <c r="E47" i="18"/>
  <c r="D46" i="18"/>
  <c r="E46" i="18"/>
  <c r="D45" i="18"/>
  <c r="E45" i="18"/>
  <c r="D44" i="18"/>
  <c r="E44" i="18"/>
  <c r="D43" i="18"/>
  <c r="E43" i="18"/>
  <c r="D42" i="18"/>
  <c r="D41" i="18"/>
  <c r="D40" i="18"/>
  <c r="D39" i="18"/>
  <c r="E39" i="18"/>
  <c r="D38" i="18"/>
  <c r="E38" i="18"/>
  <c r="D37" i="18"/>
  <c r="E37" i="18"/>
  <c r="D36" i="18"/>
  <c r="E36" i="18"/>
  <c r="D35" i="18"/>
  <c r="E35" i="18"/>
  <c r="D34" i="18"/>
  <c r="D33" i="18"/>
  <c r="E33" i="18"/>
  <c r="D32" i="18"/>
  <c r="E32" i="18"/>
  <c r="D31" i="18"/>
  <c r="D30" i="18"/>
  <c r="E30" i="18"/>
  <c r="D29" i="18"/>
  <c r="E29" i="18"/>
  <c r="D28" i="18"/>
  <c r="E28" i="18"/>
  <c r="D27" i="18"/>
  <c r="E27" i="18"/>
  <c r="D26" i="18"/>
  <c r="D24" i="18"/>
  <c r="D23" i="18"/>
  <c r="C128" i="18"/>
  <c r="E24" i="18"/>
  <c r="E26" i="18"/>
  <c r="E31" i="18"/>
  <c r="E34" i="18"/>
  <c r="E40" i="18"/>
  <c r="E41" i="18"/>
  <c r="E42" i="18"/>
  <c r="E49" i="18"/>
  <c r="E50" i="18"/>
  <c r="E55" i="18"/>
  <c r="E56" i="18"/>
  <c r="E57" i="18"/>
  <c r="E58" i="18"/>
  <c r="E63" i="18"/>
  <c r="E66" i="18"/>
  <c r="E72" i="18"/>
  <c r="E74" i="18"/>
  <c r="E79" i="18"/>
  <c r="E81" i="18"/>
  <c r="E82" i="18"/>
  <c r="E87" i="18"/>
  <c r="E88" i="18"/>
  <c r="E89" i="18"/>
  <c r="E90" i="18"/>
  <c r="E95" i="18"/>
  <c r="E97" i="18"/>
  <c r="E98" i="18"/>
  <c r="E104" i="18"/>
  <c r="E106" i="18"/>
  <c r="E111" i="18"/>
  <c r="E113" i="18"/>
  <c r="E114" i="18"/>
  <c r="E119" i="18"/>
  <c r="E120" i="18"/>
  <c r="E121" i="18"/>
  <c r="E122" i="18"/>
  <c r="A3" i="18"/>
  <c r="A2" i="18"/>
  <c r="A1" i="18"/>
  <c r="C128" i="8"/>
  <c r="A2" i="8"/>
  <c r="A1" i="8"/>
  <c r="A2" i="6"/>
  <c r="A1" i="6"/>
</calcChain>
</file>

<file path=xl/sharedStrings.xml><?xml version="1.0" encoding="utf-8"?>
<sst xmlns="http://schemas.openxmlformats.org/spreadsheetml/2006/main" count="36" uniqueCount="21">
  <si>
    <t>Problem 1</t>
  </si>
  <si>
    <t>WebsiteVisits</t>
  </si>
  <si>
    <t>Revenue/1K impressions</t>
  </si>
  <si>
    <t>Predict the number of people visiting the website each day based on the sample data provided by the ad agency using the forecast function</t>
  </si>
  <si>
    <t>Evaluate the NPV of this investment and determine if the client should proceed with the investment</t>
  </si>
  <si>
    <t>Revenue</t>
  </si>
  <si>
    <t>Initial investment</t>
  </si>
  <si>
    <t>Annual interest rate</t>
  </si>
  <si>
    <t>Daily interest rate</t>
  </si>
  <si>
    <t>ForecastWebsiteVisits</t>
  </si>
  <si>
    <t>Net Present Value (NPV)</t>
  </si>
  <si>
    <t>The client should proceed with the project because the investment has a positive NPV</t>
  </si>
  <si>
    <t>SocialMediaMentions</t>
  </si>
  <si>
    <t>SampleSocialMediaMentions</t>
  </si>
  <si>
    <t>Culminating Exercise - Solution</t>
  </si>
  <si>
    <t>Your new blog is getting paid by an add agency for each page load of your blog. A new social media promotional company has reached out to you to solicit your interest in having them promote your blog through social media. The 100 day campaign costs $2,500. You are curious to understand the NPV of this investment to determine if you should undertake it. To support your analysis you have found correlation data between social media mentions and website visits. </t>
  </si>
  <si>
    <t>Predict the revenue associated with these website visits using INDEX-MATCH (Hint: Remember how 0 was an exact match and 1 was a greater than match, what do you think will happen if we put -1 for type of match?)</t>
  </si>
  <si>
    <t>Day Number</t>
  </si>
  <si>
    <t>Problem Solving with Excel</t>
  </si>
  <si>
    <t>Week 4 project</t>
  </si>
  <si>
    <t>Your new blog is getting paid by an ad agency for each page load of your blog. A new social media promotional company has reached out to you to solicit your interest in having them promote your blog through social media. The 100 day campaign costs $2,500. You are curious to understand the NPV of this investment to determine if you should undertake it. To support your analysis you have found correlation data between social media mentions and website visits.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</si>
</sst>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quot;$&quot;* #,##0.00_);_(&quot;$&quot;* \(#,##0.00\);_(&quot;$&quot;* &quot;-&quot;??_);_(@_)"/>
    <numFmt numFmtId="165" formatCode="_(* #,##0.00_);_(* \(#,##0.00\);_(* &quot;-&quot;??_);_(@_)"/>
    <numFmt numFmtId="166" formatCode="_(* #,##0_);_(* \(#,##0\);_(* &quot;-&quot;_);@_)"/>
    <numFmt numFmtId="167" formatCode="0%_);\(0%\)"/>
    <numFmt numFmtId="168" formatCode="_(* #,##0_);_(* \(#,##0\);_(* &quot;-&quot;??_);_(@_)"/>
    <numFmt numFmtId="169" formatCode="&quot;$&quot;#,##0.00"/>
    <numFmt numFmtId="170" formatCode="0.0000%"/>
    <numFmt numFmtId="172" formatCode="_(* #,##0.00_);_(* \(#,##0.00\);_(* &quot;-&quot;_);@_)"/>
  </numFmts>
  <fonts count="39" x14ac:knownFonts="1">
    <font>
      <sz val="9"/>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sz val="10"/>
      <name val="Arial"/>
      <family val="2"/>
    </font>
    <font>
      <b/>
      <sz val="10"/>
      <color theme="6" tint="-0.249977111117893"/>
      <name val="Arial"/>
      <family val="2"/>
    </font>
    <font>
      <b/>
      <u/>
      <sz val="14"/>
      <color theme="3"/>
      <name val="Calibri"/>
      <family val="2"/>
      <scheme val="minor"/>
    </font>
    <font>
      <b/>
      <sz val="10"/>
      <name val="Arial"/>
      <family val="2"/>
    </font>
    <font>
      <u/>
      <sz val="9"/>
      <color theme="10"/>
      <name val="Calibri"/>
      <family val="2"/>
      <scheme val="minor"/>
    </font>
    <font>
      <u/>
      <sz val="9"/>
      <color theme="11"/>
      <name val="Calibri"/>
      <family val="2"/>
      <scheme val="minor"/>
    </font>
    <font>
      <b/>
      <sz val="10"/>
      <color theme="6"/>
      <name val="Arial"/>
      <family val="2"/>
    </font>
    <font>
      <b/>
      <sz val="10"/>
      <color theme="0"/>
      <name val="Arial"/>
      <family val="2"/>
    </font>
    <font>
      <sz val="9"/>
      <color theme="1"/>
      <name val="Arial"/>
      <family val="2"/>
    </font>
    <font>
      <sz val="9"/>
      <name val="Arial"/>
      <family val="2"/>
    </font>
    <font>
      <sz val="9"/>
      <color rgb="FF000000"/>
      <name val="Calibri"/>
      <family val="2"/>
    </font>
    <font>
      <b/>
      <sz val="12"/>
      <color theme="6" tint="-0.249977111117893"/>
      <name val="Century Gothic"/>
      <family val="2"/>
    </font>
    <font>
      <sz val="12"/>
      <name val="Century Gothic"/>
      <family val="2"/>
    </font>
    <font>
      <b/>
      <u/>
      <sz val="12"/>
      <color theme="3"/>
      <name val="Century Gothic"/>
      <family val="2"/>
    </font>
    <font>
      <sz val="12"/>
      <color theme="1"/>
      <name val="Century Gothic"/>
      <family val="2"/>
    </font>
    <font>
      <b/>
      <sz val="12"/>
      <color theme="3"/>
      <name val="Century Gothic"/>
      <family val="2"/>
    </font>
    <font>
      <b/>
      <sz val="12"/>
      <color theme="6"/>
      <name val="Century Gothic"/>
      <family val="2"/>
    </font>
    <font>
      <b/>
      <sz val="12"/>
      <color theme="0"/>
      <name val="Century Gothic"/>
      <family val="2"/>
    </font>
  </fonts>
  <fills count="1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rgb="FFA32020"/>
        <bgColor indexed="64"/>
      </patternFill>
    </fill>
    <fill>
      <patternFill patternType="solid">
        <fgColor theme="3" tint="-0.249977111117893"/>
        <bgColor indexed="64"/>
      </patternFill>
    </fill>
    <fill>
      <patternFill patternType="solid">
        <fgColor theme="5" tint="0.79998168889431442"/>
        <bgColor indexed="64"/>
      </patternFill>
    </fill>
  </fills>
  <borders count="2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theme="0" tint="-0.34998626667073579"/>
      </right>
      <top style="dotted">
        <color auto="1"/>
      </top>
      <bottom style="dotted">
        <color auto="1"/>
      </bottom>
      <diagonal/>
    </border>
    <border>
      <left/>
      <right style="medium">
        <color indexed="64"/>
      </right>
      <top style="dotted">
        <color auto="1"/>
      </top>
      <bottom style="dotted">
        <color auto="1"/>
      </bottom>
      <diagonal/>
    </border>
    <border>
      <left/>
      <right style="thin">
        <color theme="0" tint="-0.34998626667073579"/>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style="thin">
        <color theme="0" tint="-0.34998626667073579"/>
      </right>
      <top style="dotted">
        <color auto="1"/>
      </top>
      <bottom style="dotted">
        <color auto="1"/>
      </bottom>
      <diagonal/>
    </border>
    <border>
      <left/>
      <right style="thin">
        <color rgb="FFA32020"/>
      </right>
      <top/>
      <bottom/>
      <diagonal/>
    </border>
    <border>
      <left style="medium">
        <color indexed="64"/>
      </left>
      <right style="thin">
        <color theme="0" tint="-0.34998626667073579"/>
      </right>
      <top style="dotted">
        <color auto="1"/>
      </top>
      <bottom style="medium">
        <color indexed="64"/>
      </bottom>
      <diagonal/>
    </border>
    <border>
      <left style="medium">
        <color auto="1"/>
      </left>
      <right/>
      <top style="medium">
        <color auto="1"/>
      </top>
      <bottom style="dotted">
        <color auto="1"/>
      </bottom>
      <diagonal/>
    </border>
    <border>
      <left style="medium">
        <color auto="1"/>
      </left>
      <right style="dotted">
        <color auto="1"/>
      </right>
      <top style="dotted">
        <color auto="1"/>
      </top>
      <bottom style="medium">
        <color indexed="64"/>
      </bottom>
      <diagonal/>
    </border>
    <border>
      <left style="medium">
        <color auto="1"/>
      </left>
      <right style="dotted">
        <color auto="1"/>
      </right>
      <top style="dotted">
        <color auto="1"/>
      </top>
      <bottom style="dotted">
        <color auto="1"/>
      </bottom>
      <diagonal/>
    </border>
  </borders>
  <cellStyleXfs count="39">
    <xf numFmtId="166" fontId="0" fillId="0" borderId="0"/>
    <xf numFmtId="9" fontId="1" fillId="0" borderId="0" applyFont="0" applyFill="0" applyBorder="0" applyAlignment="0" applyProtection="0"/>
    <xf numFmtId="49" fontId="19"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0" fillId="0" borderId="10" applyNumberFormat="0" applyFill="0" applyAlignment="0" applyProtection="0"/>
    <xf numFmtId="166" fontId="16" fillId="0" borderId="0" applyNumberFormat="0" applyFill="0" applyBorder="0" applyAlignment="0" applyProtection="0"/>
    <xf numFmtId="166" fontId="6" fillId="9" borderId="0" applyNumberFormat="0" applyFont="0" applyBorder="0" applyAlignment="0" applyProtection="0"/>
    <xf numFmtId="0" fontId="6" fillId="0" borderId="0" applyFill="0" applyBorder="0" applyProtection="0"/>
    <xf numFmtId="166" fontId="6" fillId="10" borderId="0" applyNumberFormat="0" applyFont="0" applyBorder="0" applyAlignment="0" applyProtection="0"/>
    <xf numFmtId="167"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0" fontId="16" fillId="0" borderId="8" applyFill="0" applyProtection="0">
      <alignment wrapText="1"/>
    </xf>
    <xf numFmtId="166" fontId="18" fillId="0" borderId="9" applyNumberFormat="0" applyFill="0" applyAlignment="0" applyProtection="0"/>
    <xf numFmtId="0" fontId="2" fillId="0" borderId="0" applyAlignment="0" applyProtection="0"/>
    <xf numFmtId="0" fontId="18" fillId="0" borderId="10" applyNumberFormat="0" applyFill="0" applyAlignment="0" applyProtection="0"/>
    <xf numFmtId="0" fontId="21" fillId="0" borderId="0"/>
    <xf numFmtId="165" fontId="6" fillId="0" borderId="0" applyFont="0" applyFill="0" applyBorder="0" applyAlignment="0" applyProtection="0"/>
    <xf numFmtId="164" fontId="6" fillId="0" borderId="0" applyFont="0" applyFill="0" applyBorder="0" applyAlignment="0" applyProtection="0"/>
    <xf numFmtId="166" fontId="25" fillId="0" borderId="0" applyNumberFormat="0" applyFill="0" applyBorder="0" applyAlignment="0" applyProtection="0"/>
    <xf numFmtId="166" fontId="26" fillId="0" borderId="0" applyNumberFormat="0" applyFill="0" applyBorder="0" applyAlignment="0" applyProtection="0"/>
    <xf numFmtId="166" fontId="25" fillId="0" borderId="0" applyNumberFormat="0" applyFill="0" applyBorder="0" applyAlignment="0" applyProtection="0"/>
    <xf numFmtId="166" fontId="26" fillId="0" borderId="0" applyNumberFormat="0" applyFill="0" applyBorder="0" applyAlignment="0" applyProtection="0"/>
    <xf numFmtId="166" fontId="25" fillId="0" borderId="0" applyNumberFormat="0" applyFill="0" applyBorder="0" applyAlignment="0" applyProtection="0"/>
    <xf numFmtId="166" fontId="26" fillId="0" borderId="0" applyNumberFormat="0" applyFill="0" applyBorder="0" applyAlignment="0" applyProtection="0"/>
  </cellStyleXfs>
  <cellXfs count="63">
    <xf numFmtId="166" fontId="0" fillId="0" borderId="0" xfId="0"/>
    <xf numFmtId="0" fontId="21" fillId="0" borderId="0" xfId="30"/>
    <xf numFmtId="0" fontId="22" fillId="0" borderId="0" xfId="30" applyFont="1"/>
    <xf numFmtId="0" fontId="23" fillId="0" borderId="0" xfId="28" applyFont="1"/>
    <xf numFmtId="0" fontId="21" fillId="0" borderId="0" xfId="30" applyBorder="1"/>
    <xf numFmtId="0" fontId="24" fillId="0" borderId="0" xfId="30" applyFont="1"/>
    <xf numFmtId="166" fontId="21" fillId="0" borderId="0" xfId="30" applyNumberFormat="1"/>
    <xf numFmtId="165" fontId="21" fillId="0" borderId="0" xfId="30" applyNumberFormat="1"/>
    <xf numFmtId="0" fontId="27" fillId="0" borderId="0" xfId="30" applyFont="1"/>
    <xf numFmtId="166" fontId="0" fillId="0" borderId="16" xfId="0" applyBorder="1"/>
    <xf numFmtId="166" fontId="0" fillId="0" borderId="18" xfId="0" applyBorder="1"/>
    <xf numFmtId="166" fontId="5" fillId="12" borderId="14" xfId="0" applyFont="1" applyFill="1" applyBorder="1"/>
    <xf numFmtId="166" fontId="0" fillId="13" borderId="15" xfId="0" applyFill="1" applyBorder="1"/>
    <xf numFmtId="166" fontId="28" fillId="11" borderId="11" xfId="0" applyFont="1" applyFill="1" applyBorder="1" applyAlignment="1">
      <alignment horizontal="center"/>
    </xf>
    <xf numFmtId="166" fontId="28" fillId="11" borderId="12" xfId="0" applyFont="1" applyFill="1" applyBorder="1" applyAlignment="1">
      <alignment horizontal="center"/>
    </xf>
    <xf numFmtId="166" fontId="28" fillId="11" borderId="13" xfId="0" applyFont="1" applyFill="1" applyBorder="1" applyAlignment="1">
      <alignment horizontal="center"/>
    </xf>
    <xf numFmtId="49" fontId="9" fillId="0" borderId="6" xfId="3" applyAlignment="1">
      <alignment horizontal="right" vertical="center" wrapText="1"/>
    </xf>
    <xf numFmtId="166" fontId="0" fillId="0" borderId="0" xfId="0" applyAlignment="1">
      <alignment vertical="center"/>
    </xf>
    <xf numFmtId="169" fontId="0" fillId="0" borderId="0" xfId="0" applyNumberFormat="1" applyAlignment="1">
      <alignment vertical="center"/>
    </xf>
    <xf numFmtId="49" fontId="9" fillId="0" borderId="0" xfId="3" applyBorder="1" applyAlignment="1">
      <alignment horizontal="left" vertical="center" wrapText="1"/>
    </xf>
    <xf numFmtId="166" fontId="0" fillId="0" borderId="0" xfId="0" applyFill="1" applyBorder="1"/>
    <xf numFmtId="170" fontId="0" fillId="0" borderId="0" xfId="1" applyNumberFormat="1" applyFont="1" applyFill="1" applyBorder="1"/>
    <xf numFmtId="0" fontId="21" fillId="0" borderId="0" xfId="30" applyAlignment="1"/>
    <xf numFmtId="168" fontId="0" fillId="0" borderId="0" xfId="31" applyNumberFormat="1" applyFont="1" applyAlignment="1">
      <alignment vertical="center"/>
    </xf>
    <xf numFmtId="164" fontId="0" fillId="0" borderId="17" xfId="32" applyFont="1" applyBorder="1"/>
    <xf numFmtId="164" fontId="0" fillId="0" borderId="19" xfId="32" applyFont="1" applyBorder="1"/>
    <xf numFmtId="0" fontId="21" fillId="0" borderId="21" xfId="30" applyBorder="1"/>
    <xf numFmtId="166" fontId="0" fillId="0" borderId="25" xfId="0" applyBorder="1"/>
    <xf numFmtId="166" fontId="0" fillId="0" borderId="24" xfId="0" applyBorder="1"/>
    <xf numFmtId="166" fontId="22" fillId="0" borderId="0" xfId="0" applyFont="1"/>
    <xf numFmtId="0" fontId="29" fillId="0" borderId="0" xfId="30" applyFont="1" applyAlignment="1">
      <alignment horizontal="left" vertical="center" wrapText="1"/>
    </xf>
    <xf numFmtId="0" fontId="29" fillId="0" borderId="0" xfId="30" applyFont="1" applyAlignment="1">
      <alignment horizontal="left"/>
    </xf>
    <xf numFmtId="0" fontId="27" fillId="0" borderId="0" xfId="30" applyFont="1" applyAlignment="1">
      <alignment horizontal="center"/>
    </xf>
    <xf numFmtId="0" fontId="30" fillId="0" borderId="0" xfId="30" applyFont="1" applyAlignment="1">
      <alignment horizontal="left" wrapText="1"/>
    </xf>
    <xf numFmtId="0" fontId="32" fillId="0" borderId="0" xfId="30" applyFont="1"/>
    <xf numFmtId="0" fontId="33" fillId="0" borderId="0" xfId="30" applyFont="1"/>
    <xf numFmtId="0" fontId="33" fillId="0" borderId="0" xfId="30" applyFont="1" applyBorder="1"/>
    <xf numFmtId="0" fontId="34" fillId="0" borderId="0" xfId="28" applyFont="1"/>
    <xf numFmtId="0" fontId="35" fillId="0" borderId="0" xfId="30" applyFont="1" applyAlignment="1">
      <alignment horizontal="left" wrapText="1"/>
    </xf>
    <xf numFmtId="0" fontId="35" fillId="0" borderId="0" xfId="30" applyFont="1" applyAlignment="1">
      <alignment wrapText="1"/>
    </xf>
    <xf numFmtId="49" fontId="36" fillId="0" borderId="6" xfId="3" applyFont="1" applyAlignment="1">
      <alignment horizontal="right" vertical="center" wrapText="1"/>
    </xf>
    <xf numFmtId="166" fontId="35" fillId="0" borderId="0" xfId="0" applyFont="1" applyAlignment="1">
      <alignment vertical="center"/>
    </xf>
    <xf numFmtId="169" fontId="35" fillId="0" borderId="0" xfId="0" applyNumberFormat="1" applyFont="1" applyAlignment="1">
      <alignment vertical="center"/>
    </xf>
    <xf numFmtId="0" fontId="35" fillId="0" borderId="0" xfId="30" applyFont="1" applyAlignment="1">
      <alignment horizontal="left"/>
    </xf>
    <xf numFmtId="0" fontId="37" fillId="0" borderId="0" xfId="30" applyFont="1" applyAlignment="1">
      <alignment horizontal="left"/>
    </xf>
    <xf numFmtId="0" fontId="33" fillId="0" borderId="0" xfId="30" applyFont="1" applyAlignment="1">
      <alignment horizontal="left"/>
    </xf>
    <xf numFmtId="0" fontId="35" fillId="0" borderId="0" xfId="30" applyFont="1" applyAlignment="1">
      <alignment horizontal="left" vertical="center" wrapText="1"/>
    </xf>
    <xf numFmtId="166" fontId="38" fillId="11" borderId="23" xfId="0" applyFont="1" applyFill="1" applyBorder="1" applyAlignment="1">
      <alignment horizontal="center"/>
    </xf>
    <xf numFmtId="166" fontId="38" fillId="11" borderId="12" xfId="0" applyFont="1" applyFill="1" applyBorder="1" applyAlignment="1">
      <alignment horizontal="center"/>
    </xf>
    <xf numFmtId="166" fontId="38" fillId="11" borderId="13" xfId="0" applyFont="1" applyFill="1" applyBorder="1" applyAlignment="1">
      <alignment horizontal="center"/>
    </xf>
    <xf numFmtId="166" fontId="35" fillId="0" borderId="20" xfId="0" applyFont="1" applyBorder="1"/>
    <xf numFmtId="166" fontId="35" fillId="0" borderId="16" xfId="0" applyFont="1" applyBorder="1"/>
    <xf numFmtId="166" fontId="35" fillId="0" borderId="22" xfId="0" applyFont="1" applyBorder="1"/>
    <xf numFmtId="166" fontId="35" fillId="0" borderId="18" xfId="0" applyFont="1" applyBorder="1"/>
    <xf numFmtId="0" fontId="37" fillId="0" borderId="0" xfId="30" applyFont="1"/>
    <xf numFmtId="49" fontId="36" fillId="0" borderId="0" xfId="3" applyFont="1" applyBorder="1" applyAlignment="1">
      <alignment horizontal="left" vertical="center" wrapText="1"/>
    </xf>
    <xf numFmtId="166" fontId="35" fillId="0" borderId="0" xfId="0" applyFont="1" applyFill="1" applyBorder="1"/>
    <xf numFmtId="170" fontId="35" fillId="0" borderId="0" xfId="1" applyNumberFormat="1" applyFont="1" applyFill="1" applyBorder="1"/>
    <xf numFmtId="166" fontId="38" fillId="12" borderId="14" xfId="0" applyFont="1" applyFill="1" applyBorder="1"/>
    <xf numFmtId="166" fontId="35" fillId="13" borderId="15" xfId="0" applyFont="1" applyFill="1" applyBorder="1"/>
    <xf numFmtId="166" fontId="35" fillId="13" borderId="0" xfId="0" applyFont="1" applyFill="1" applyBorder="1"/>
    <xf numFmtId="166" fontId="35" fillId="0" borderId="16" xfId="0" applyNumberFormat="1" applyFont="1" applyBorder="1"/>
    <xf numFmtId="172" fontId="35" fillId="0" borderId="17" xfId="0" applyNumberFormat="1" applyFont="1" applyBorder="1"/>
  </cellXfs>
  <cellStyles count="39">
    <cellStyle name="Bad" xfId="8" builtinId="27" customBuiltin="1"/>
    <cellStyle name="Calculation" xfId="12" builtinId="22" customBuiltin="1"/>
    <cellStyle name="Check Cell" xfId="14" builtinId="23" customBuiltin="1"/>
    <cellStyle name="Comma" xfId="31" builtinId="3"/>
    <cellStyle name="Currency" xfId="32" builtinId="4"/>
    <cellStyle name="Explanatory Text" xfId="16" builtinId="53" customBuiltin="1"/>
    <cellStyle name="Followed Hyperlink" xfId="34" builtinId="9" hidden="1"/>
    <cellStyle name="Followed Hyperlink" xfId="36" builtinId="9" hidden="1"/>
    <cellStyle name="Followed Hyperlink" xfId="38" builtinId="9" hidde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3" builtinId="8" hidden="1"/>
    <cellStyle name="Hyperlink" xfId="35" builtinId="8" hidden="1"/>
    <cellStyle name="Hyperlink" xfId="37" builtinId="8" hidden="1"/>
    <cellStyle name="Input" xfId="10" builtinId="20" customBuiltin="1"/>
    <cellStyle name="Linked Cell" xfId="13" builtinId="24" customBuiltin="1"/>
    <cellStyle name="Neutral" xfId="9" builtinId="28" customBuiltin="1"/>
    <cellStyle name="Normal" xfId="0" builtinId="0" customBuiltin="1"/>
    <cellStyle name="Normal 2" xfId="30"/>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0"/>
  <tableStyles count="0" defaultTableStyle="TableStyleMedium2" defaultPivotStyle="PivotStyleLight16"/>
  <colors>
    <mruColors>
      <color rgb="FFA3202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126</xdr:row>
          <xdr:rowOff>123825</xdr:rowOff>
        </xdr:from>
        <xdr:to>
          <xdr:col>5</xdr:col>
          <xdr:colOff>219075</xdr:colOff>
          <xdr:row>129</xdr:row>
          <xdr:rowOff>95250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Calibri"/>
                  <a:cs typeface="Calibri"/>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1123950</xdr:colOff>
          <xdr:row>125</xdr:row>
          <xdr:rowOff>152400</xdr:rowOff>
        </xdr:from>
        <xdr:to>
          <xdr:col>6</xdr:col>
          <xdr:colOff>47625</xdr:colOff>
          <xdr:row>129</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Calibri"/>
                  <a:cs typeface="Calibri"/>
                </a:rPr>
                <a:t>Show Problem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
  <sheetViews>
    <sheetView showGridLines="0" workbookViewId="0">
      <selection activeCell="H1" sqref="H1"/>
    </sheetView>
  </sheetViews>
  <sheetFormatPr defaultColWidth="9" defaultRowHeight="12" x14ac:dyDescent="0.2"/>
  <sheetData>
    <row r="1" spans="1:1" ht="12.75" x14ac:dyDescent="0.2">
      <c r="A1" s="29" t="s">
        <v>18</v>
      </c>
    </row>
    <row r="2" spans="1:1" ht="12.75" x14ac:dyDescent="0.2">
      <c r="A2" s="29" t="s">
        <v>19</v>
      </c>
    </row>
    <row r="3" spans="1:1" ht="12.75" x14ac:dyDescent="0.2">
      <c r="A3" s="29"/>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06"/>
  <sheetViews>
    <sheetView showGridLines="0" zoomScale="80" workbookViewId="0">
      <selection activeCell="C7" sqref="C7:C106"/>
    </sheetView>
  </sheetViews>
  <sheetFormatPr defaultColWidth="9" defaultRowHeight="12.75" x14ac:dyDescent="0.2"/>
  <cols>
    <col min="1" max="1" width="9" style="1"/>
    <col min="2" max="3" width="29.1640625" style="22" customWidth="1"/>
    <col min="4" max="4" width="9" style="1"/>
    <col min="5" max="5" width="14" style="1" customWidth="1"/>
    <col min="6" max="6" width="11.6640625" style="1" bestFit="1" customWidth="1"/>
    <col min="7" max="16384" width="9" style="1"/>
  </cols>
  <sheetData>
    <row r="1" spans="1:7" x14ac:dyDescent="0.2">
      <c r="A1" s="2" t="str">
        <f>Introduction!A1</f>
        <v>Problem Solving with Excel</v>
      </c>
    </row>
    <row r="2" spans="1:7" x14ac:dyDescent="0.2">
      <c r="A2" s="2" t="str">
        <f>Introduction!A2</f>
        <v>Week 4 project</v>
      </c>
    </row>
    <row r="3" spans="1:7" x14ac:dyDescent="0.2">
      <c r="A3" s="2"/>
    </row>
    <row r="4" spans="1:7" x14ac:dyDescent="0.2">
      <c r="A4" s="2"/>
    </row>
    <row r="5" spans="1:7" x14ac:dyDescent="0.2">
      <c r="E5" s="5"/>
    </row>
    <row r="6" spans="1:7" ht="13.5" thickBot="1" x14ac:dyDescent="0.25">
      <c r="B6" s="16" t="s">
        <v>12</v>
      </c>
      <c r="C6" s="16" t="s">
        <v>1</v>
      </c>
      <c r="F6" s="5"/>
      <c r="G6" s="5"/>
    </row>
    <row r="7" spans="1:7" x14ac:dyDescent="0.2">
      <c r="B7" s="17">
        <v>610</v>
      </c>
      <c r="C7" s="23">
        <v>16211</v>
      </c>
      <c r="E7" s="6"/>
      <c r="F7" s="7"/>
    </row>
    <row r="8" spans="1:7" x14ac:dyDescent="0.2">
      <c r="B8" s="17">
        <v>1135</v>
      </c>
      <c r="C8" s="23">
        <v>33564</v>
      </c>
      <c r="E8" s="6"/>
    </row>
    <row r="9" spans="1:7" x14ac:dyDescent="0.2">
      <c r="B9" s="17">
        <v>725</v>
      </c>
      <c r="C9" s="23">
        <v>13596</v>
      </c>
    </row>
    <row r="10" spans="1:7" x14ac:dyDescent="0.2">
      <c r="B10" s="17">
        <v>325</v>
      </c>
      <c r="C10" s="23">
        <v>6516</v>
      </c>
    </row>
    <row r="11" spans="1:7" x14ac:dyDescent="0.2">
      <c r="B11" s="17">
        <v>1114</v>
      </c>
      <c r="C11" s="23">
        <v>28869</v>
      </c>
    </row>
    <row r="12" spans="1:7" x14ac:dyDescent="0.2">
      <c r="B12" s="17">
        <v>1031</v>
      </c>
      <c r="C12" s="23">
        <v>20657</v>
      </c>
    </row>
    <row r="13" spans="1:7" x14ac:dyDescent="0.2">
      <c r="B13" s="17">
        <v>856</v>
      </c>
      <c r="C13" s="23">
        <v>28396</v>
      </c>
    </row>
    <row r="14" spans="1:7" x14ac:dyDescent="0.2">
      <c r="B14" s="17">
        <v>713</v>
      </c>
      <c r="C14" s="23">
        <v>28863</v>
      </c>
    </row>
    <row r="15" spans="1:7" x14ac:dyDescent="0.2">
      <c r="B15" s="17">
        <v>544</v>
      </c>
      <c r="C15" s="23">
        <v>23748</v>
      </c>
    </row>
    <row r="16" spans="1:7" x14ac:dyDescent="0.2">
      <c r="B16" s="17">
        <v>1353</v>
      </c>
      <c r="C16" s="23">
        <v>35529</v>
      </c>
    </row>
    <row r="17" spans="2:3" x14ac:dyDescent="0.2">
      <c r="B17" s="17">
        <v>1246</v>
      </c>
      <c r="C17" s="23">
        <v>31512</v>
      </c>
    </row>
    <row r="18" spans="2:3" x14ac:dyDescent="0.2">
      <c r="B18" s="17">
        <v>664</v>
      </c>
      <c r="C18" s="23">
        <v>15828</v>
      </c>
    </row>
    <row r="19" spans="2:3" x14ac:dyDescent="0.2">
      <c r="B19" s="17">
        <v>709</v>
      </c>
      <c r="C19" s="23">
        <v>21825</v>
      </c>
    </row>
    <row r="20" spans="2:3" x14ac:dyDescent="0.2">
      <c r="B20" s="17">
        <v>491</v>
      </c>
      <c r="C20" s="23">
        <v>16702</v>
      </c>
    </row>
    <row r="21" spans="2:3" x14ac:dyDescent="0.2">
      <c r="B21" s="17">
        <v>733</v>
      </c>
      <c r="C21" s="23">
        <v>22022</v>
      </c>
    </row>
    <row r="22" spans="2:3" x14ac:dyDescent="0.2">
      <c r="B22" s="17">
        <v>1036</v>
      </c>
      <c r="C22" s="23">
        <v>25165</v>
      </c>
    </row>
    <row r="23" spans="2:3" x14ac:dyDescent="0.2">
      <c r="B23" s="17">
        <v>1044</v>
      </c>
      <c r="C23" s="23">
        <v>19478</v>
      </c>
    </row>
    <row r="24" spans="2:3" x14ac:dyDescent="0.2">
      <c r="B24" s="17">
        <v>1034</v>
      </c>
      <c r="C24" s="23">
        <v>24126</v>
      </c>
    </row>
    <row r="25" spans="2:3" x14ac:dyDescent="0.2">
      <c r="B25" s="17">
        <v>543</v>
      </c>
      <c r="C25" s="23">
        <v>12011</v>
      </c>
    </row>
    <row r="26" spans="2:3" x14ac:dyDescent="0.2">
      <c r="B26" s="17">
        <v>766</v>
      </c>
      <c r="C26" s="23">
        <v>23548</v>
      </c>
    </row>
    <row r="27" spans="2:3" x14ac:dyDescent="0.2">
      <c r="B27" s="17">
        <v>582</v>
      </c>
      <c r="C27" s="23">
        <v>15179</v>
      </c>
    </row>
    <row r="28" spans="2:3" x14ac:dyDescent="0.2">
      <c r="B28" s="17">
        <v>774</v>
      </c>
      <c r="C28" s="23">
        <v>20239</v>
      </c>
    </row>
    <row r="29" spans="2:3" x14ac:dyDescent="0.2">
      <c r="B29" s="17">
        <v>579</v>
      </c>
      <c r="C29" s="23">
        <v>14604</v>
      </c>
    </row>
    <row r="30" spans="2:3" x14ac:dyDescent="0.2">
      <c r="B30" s="17">
        <v>608</v>
      </c>
      <c r="C30" s="23">
        <v>23984</v>
      </c>
    </row>
    <row r="31" spans="2:3" x14ac:dyDescent="0.2">
      <c r="B31" s="17">
        <v>564</v>
      </c>
      <c r="C31" s="23">
        <v>13886</v>
      </c>
    </row>
    <row r="32" spans="2:3" x14ac:dyDescent="0.2">
      <c r="B32" s="17">
        <v>891</v>
      </c>
      <c r="C32" s="23">
        <v>20208</v>
      </c>
    </row>
    <row r="33" spans="2:3" x14ac:dyDescent="0.2">
      <c r="B33" s="17">
        <v>439</v>
      </c>
      <c r="C33" s="23">
        <v>7648</v>
      </c>
    </row>
    <row r="34" spans="2:3" x14ac:dyDescent="0.2">
      <c r="B34" s="17">
        <v>694</v>
      </c>
      <c r="C34" s="23">
        <v>23363</v>
      </c>
    </row>
    <row r="35" spans="2:3" x14ac:dyDescent="0.2">
      <c r="B35" s="17">
        <v>473</v>
      </c>
      <c r="C35" s="23">
        <v>17564</v>
      </c>
    </row>
    <row r="36" spans="2:3" x14ac:dyDescent="0.2">
      <c r="B36" s="17">
        <v>1081</v>
      </c>
      <c r="C36" s="23">
        <v>26423</v>
      </c>
    </row>
    <row r="37" spans="2:3" x14ac:dyDescent="0.2">
      <c r="B37" s="17">
        <v>591</v>
      </c>
      <c r="C37" s="23">
        <v>9159</v>
      </c>
    </row>
    <row r="38" spans="2:3" x14ac:dyDescent="0.2">
      <c r="B38" s="17">
        <v>505</v>
      </c>
      <c r="C38" s="23">
        <v>10359</v>
      </c>
    </row>
    <row r="39" spans="2:3" x14ac:dyDescent="0.2">
      <c r="B39" s="17">
        <v>707</v>
      </c>
      <c r="C39" s="23">
        <v>18196</v>
      </c>
    </row>
    <row r="40" spans="2:3" x14ac:dyDescent="0.2">
      <c r="B40" s="17">
        <v>806</v>
      </c>
      <c r="C40" s="23">
        <v>18907</v>
      </c>
    </row>
    <row r="41" spans="2:3" x14ac:dyDescent="0.2">
      <c r="B41" s="17">
        <v>836</v>
      </c>
      <c r="C41" s="23">
        <v>31227</v>
      </c>
    </row>
    <row r="42" spans="2:3" x14ac:dyDescent="0.2">
      <c r="B42" s="17">
        <v>985</v>
      </c>
      <c r="C42" s="23">
        <v>25332</v>
      </c>
    </row>
    <row r="43" spans="2:3" x14ac:dyDescent="0.2">
      <c r="B43" s="17">
        <v>510</v>
      </c>
      <c r="C43" s="23">
        <v>6866</v>
      </c>
    </row>
    <row r="44" spans="2:3" x14ac:dyDescent="0.2">
      <c r="B44" s="17">
        <v>700</v>
      </c>
      <c r="C44" s="23">
        <v>23184</v>
      </c>
    </row>
    <row r="45" spans="2:3" x14ac:dyDescent="0.2">
      <c r="B45" s="17">
        <v>449</v>
      </c>
      <c r="C45" s="23">
        <v>17631</v>
      </c>
    </row>
    <row r="46" spans="2:3" x14ac:dyDescent="0.2">
      <c r="B46" s="17">
        <v>1096</v>
      </c>
      <c r="C46" s="23">
        <v>31239</v>
      </c>
    </row>
    <row r="47" spans="2:3" x14ac:dyDescent="0.2">
      <c r="B47" s="17">
        <v>747</v>
      </c>
      <c r="C47" s="23">
        <v>7774</v>
      </c>
    </row>
    <row r="48" spans="2:3" x14ac:dyDescent="0.2">
      <c r="B48" s="17">
        <v>128</v>
      </c>
      <c r="C48" s="23">
        <v>6918</v>
      </c>
    </row>
    <row r="49" spans="2:3" x14ac:dyDescent="0.2">
      <c r="B49" s="17">
        <v>524</v>
      </c>
      <c r="C49" s="23">
        <v>21821</v>
      </c>
    </row>
    <row r="50" spans="2:3" x14ac:dyDescent="0.2">
      <c r="B50" s="17">
        <v>844</v>
      </c>
      <c r="C50" s="23">
        <v>19865</v>
      </c>
    </row>
    <row r="51" spans="2:3" x14ac:dyDescent="0.2">
      <c r="B51" s="17">
        <v>633</v>
      </c>
      <c r="C51" s="23">
        <v>11124</v>
      </c>
    </row>
    <row r="52" spans="2:3" x14ac:dyDescent="0.2">
      <c r="B52" s="17">
        <v>1041</v>
      </c>
      <c r="C52" s="23">
        <v>24879</v>
      </c>
    </row>
    <row r="53" spans="2:3" x14ac:dyDescent="0.2">
      <c r="B53" s="17">
        <v>581</v>
      </c>
      <c r="C53" s="23">
        <v>14125</v>
      </c>
    </row>
    <row r="54" spans="2:3" x14ac:dyDescent="0.2">
      <c r="B54" s="17">
        <v>1331</v>
      </c>
      <c r="C54" s="23">
        <v>42990</v>
      </c>
    </row>
    <row r="55" spans="2:3" x14ac:dyDescent="0.2">
      <c r="B55" s="17">
        <v>551</v>
      </c>
      <c r="C55" s="23">
        <v>13641</v>
      </c>
    </row>
    <row r="56" spans="2:3" x14ac:dyDescent="0.2">
      <c r="B56" s="17">
        <v>413</v>
      </c>
      <c r="C56" s="23">
        <v>7582</v>
      </c>
    </row>
    <row r="57" spans="2:3" x14ac:dyDescent="0.2">
      <c r="B57" s="17">
        <v>357</v>
      </c>
      <c r="C57" s="23">
        <v>6681</v>
      </c>
    </row>
    <row r="58" spans="2:3" x14ac:dyDescent="0.2">
      <c r="B58" s="17">
        <v>630</v>
      </c>
      <c r="C58" s="23">
        <v>17233</v>
      </c>
    </row>
    <row r="59" spans="2:3" x14ac:dyDescent="0.2">
      <c r="B59" s="17">
        <v>511</v>
      </c>
      <c r="C59" s="23">
        <v>11035</v>
      </c>
    </row>
    <row r="60" spans="2:3" x14ac:dyDescent="0.2">
      <c r="B60" s="17">
        <v>858</v>
      </c>
      <c r="C60" s="23">
        <v>23923</v>
      </c>
    </row>
    <row r="61" spans="2:3" x14ac:dyDescent="0.2">
      <c r="B61" s="17">
        <v>1376</v>
      </c>
      <c r="C61" s="23">
        <v>30318</v>
      </c>
    </row>
    <row r="62" spans="2:3" x14ac:dyDescent="0.2">
      <c r="B62" s="17">
        <v>557</v>
      </c>
      <c r="C62" s="23">
        <v>20609</v>
      </c>
    </row>
    <row r="63" spans="2:3" x14ac:dyDescent="0.2">
      <c r="B63" s="17">
        <v>812</v>
      </c>
      <c r="C63" s="23">
        <v>19226</v>
      </c>
    </row>
    <row r="64" spans="2:3" x14ac:dyDescent="0.2">
      <c r="B64" s="17">
        <v>776</v>
      </c>
      <c r="C64" s="23">
        <v>24259</v>
      </c>
    </row>
    <row r="65" spans="2:3" x14ac:dyDescent="0.2">
      <c r="B65" s="17">
        <v>821</v>
      </c>
      <c r="C65" s="23">
        <v>21590</v>
      </c>
    </row>
    <row r="66" spans="2:3" x14ac:dyDescent="0.2">
      <c r="B66" s="17">
        <v>846</v>
      </c>
      <c r="C66" s="23">
        <v>12145</v>
      </c>
    </row>
    <row r="67" spans="2:3" x14ac:dyDescent="0.2">
      <c r="B67" s="17">
        <v>694</v>
      </c>
      <c r="C67" s="23">
        <v>18937</v>
      </c>
    </row>
    <row r="68" spans="2:3" x14ac:dyDescent="0.2">
      <c r="B68" s="17">
        <v>737</v>
      </c>
      <c r="C68" s="23">
        <v>21651</v>
      </c>
    </row>
    <row r="69" spans="2:3" x14ac:dyDescent="0.2">
      <c r="B69" s="17">
        <v>285</v>
      </c>
      <c r="C69" s="23">
        <v>6042</v>
      </c>
    </row>
    <row r="70" spans="2:3" x14ac:dyDescent="0.2">
      <c r="B70" s="17">
        <v>586</v>
      </c>
      <c r="C70" s="23">
        <v>16913</v>
      </c>
    </row>
    <row r="71" spans="2:3" x14ac:dyDescent="0.2">
      <c r="B71" s="17">
        <v>1362</v>
      </c>
      <c r="C71" s="23">
        <v>28918</v>
      </c>
    </row>
    <row r="72" spans="2:3" x14ac:dyDescent="0.2">
      <c r="B72" s="17">
        <v>544</v>
      </c>
      <c r="C72" s="23">
        <v>8576</v>
      </c>
    </row>
    <row r="73" spans="2:3" x14ac:dyDescent="0.2">
      <c r="B73" s="17">
        <v>572</v>
      </c>
      <c r="C73" s="23">
        <v>10169</v>
      </c>
    </row>
    <row r="74" spans="2:3" x14ac:dyDescent="0.2">
      <c r="B74" s="17">
        <v>449</v>
      </c>
      <c r="C74" s="23">
        <v>7947</v>
      </c>
    </row>
    <row r="75" spans="2:3" x14ac:dyDescent="0.2">
      <c r="B75" s="17">
        <v>944</v>
      </c>
      <c r="C75" s="23">
        <v>25512</v>
      </c>
    </row>
    <row r="76" spans="2:3" x14ac:dyDescent="0.2">
      <c r="B76" s="17">
        <v>752</v>
      </c>
      <c r="C76" s="23">
        <v>16355</v>
      </c>
    </row>
    <row r="77" spans="2:3" x14ac:dyDescent="0.2">
      <c r="B77" s="17">
        <v>871</v>
      </c>
      <c r="C77" s="23">
        <v>20529</v>
      </c>
    </row>
    <row r="78" spans="2:3" x14ac:dyDescent="0.2">
      <c r="B78" s="17">
        <v>927</v>
      </c>
      <c r="C78" s="23">
        <v>30236</v>
      </c>
    </row>
    <row r="79" spans="2:3" x14ac:dyDescent="0.2">
      <c r="B79" s="17">
        <v>633</v>
      </c>
      <c r="C79" s="23">
        <v>12748</v>
      </c>
    </row>
    <row r="80" spans="2:3" x14ac:dyDescent="0.2">
      <c r="B80" s="17">
        <v>1031</v>
      </c>
      <c r="C80" s="23">
        <v>22205</v>
      </c>
    </row>
    <row r="81" spans="2:3" x14ac:dyDescent="0.2">
      <c r="B81" s="17">
        <v>210</v>
      </c>
      <c r="C81" s="23">
        <v>1991</v>
      </c>
    </row>
    <row r="82" spans="2:3" x14ac:dyDescent="0.2">
      <c r="B82" s="17">
        <v>607</v>
      </c>
      <c r="C82" s="23">
        <v>31919</v>
      </c>
    </row>
    <row r="83" spans="2:3" x14ac:dyDescent="0.2">
      <c r="B83" s="17">
        <v>589</v>
      </c>
      <c r="C83" s="23">
        <v>9521</v>
      </c>
    </row>
    <row r="84" spans="2:3" x14ac:dyDescent="0.2">
      <c r="B84" s="17">
        <v>352</v>
      </c>
      <c r="C84" s="23">
        <v>14238</v>
      </c>
    </row>
    <row r="85" spans="2:3" x14ac:dyDescent="0.2">
      <c r="B85" s="17">
        <v>917</v>
      </c>
      <c r="C85" s="23">
        <v>21714</v>
      </c>
    </row>
    <row r="86" spans="2:3" x14ac:dyDescent="0.2">
      <c r="B86" s="17">
        <v>826</v>
      </c>
      <c r="C86" s="23">
        <v>24143</v>
      </c>
    </row>
    <row r="87" spans="2:3" x14ac:dyDescent="0.2">
      <c r="B87" s="17">
        <v>734</v>
      </c>
      <c r="C87" s="23">
        <v>16728</v>
      </c>
    </row>
    <row r="88" spans="2:3" x14ac:dyDescent="0.2">
      <c r="B88" s="17">
        <v>1048</v>
      </c>
      <c r="C88" s="23">
        <v>29774</v>
      </c>
    </row>
    <row r="89" spans="2:3" x14ac:dyDescent="0.2">
      <c r="B89" s="17">
        <v>1085</v>
      </c>
      <c r="C89" s="23">
        <v>24263</v>
      </c>
    </row>
    <row r="90" spans="2:3" x14ac:dyDescent="0.2">
      <c r="B90" s="17">
        <v>534</v>
      </c>
      <c r="C90" s="23">
        <v>23612</v>
      </c>
    </row>
    <row r="91" spans="2:3" x14ac:dyDescent="0.2">
      <c r="B91" s="17">
        <v>779</v>
      </c>
      <c r="C91" s="23">
        <v>20990</v>
      </c>
    </row>
    <row r="92" spans="2:3" x14ac:dyDescent="0.2">
      <c r="B92" s="17">
        <v>543</v>
      </c>
      <c r="C92" s="23">
        <v>8486</v>
      </c>
    </row>
    <row r="93" spans="2:3" x14ac:dyDescent="0.2">
      <c r="B93" s="17">
        <v>350</v>
      </c>
      <c r="C93" s="23">
        <v>13111</v>
      </c>
    </row>
    <row r="94" spans="2:3" x14ac:dyDescent="0.2">
      <c r="B94" s="17">
        <v>1001</v>
      </c>
      <c r="C94" s="23">
        <v>28203</v>
      </c>
    </row>
    <row r="95" spans="2:3" x14ac:dyDescent="0.2">
      <c r="B95" s="17">
        <v>306</v>
      </c>
      <c r="C95" s="23">
        <v>15731</v>
      </c>
    </row>
    <row r="96" spans="2:3" x14ac:dyDescent="0.2">
      <c r="B96" s="17">
        <v>976</v>
      </c>
      <c r="C96" s="23">
        <v>28684</v>
      </c>
    </row>
    <row r="97" spans="2:3" x14ac:dyDescent="0.2">
      <c r="B97" s="17">
        <v>958</v>
      </c>
      <c r="C97" s="23">
        <v>23090</v>
      </c>
    </row>
    <row r="98" spans="2:3" x14ac:dyDescent="0.2">
      <c r="B98" s="17">
        <v>922</v>
      </c>
      <c r="C98" s="23">
        <v>28440</v>
      </c>
    </row>
    <row r="99" spans="2:3" x14ac:dyDescent="0.2">
      <c r="B99" s="17">
        <v>572</v>
      </c>
      <c r="C99" s="23">
        <v>13455</v>
      </c>
    </row>
    <row r="100" spans="2:3" x14ac:dyDescent="0.2">
      <c r="B100" s="17">
        <v>1324</v>
      </c>
      <c r="C100" s="23">
        <v>22624</v>
      </c>
    </row>
    <row r="101" spans="2:3" x14ac:dyDescent="0.2">
      <c r="B101" s="17">
        <v>1150</v>
      </c>
      <c r="C101" s="23">
        <v>31787</v>
      </c>
    </row>
    <row r="102" spans="2:3" x14ac:dyDescent="0.2">
      <c r="B102" s="17">
        <v>688</v>
      </c>
      <c r="C102" s="23">
        <v>23261</v>
      </c>
    </row>
    <row r="103" spans="2:3" x14ac:dyDescent="0.2">
      <c r="B103" s="17">
        <v>1022</v>
      </c>
      <c r="C103" s="23">
        <v>37393</v>
      </c>
    </row>
    <row r="104" spans="2:3" x14ac:dyDescent="0.2">
      <c r="B104" s="17">
        <v>811</v>
      </c>
      <c r="C104" s="23">
        <v>25225</v>
      </c>
    </row>
    <row r="105" spans="2:3" x14ac:dyDescent="0.2">
      <c r="B105" s="17">
        <v>1037</v>
      </c>
      <c r="C105" s="23">
        <v>26127</v>
      </c>
    </row>
    <row r="106" spans="2:3" x14ac:dyDescent="0.2">
      <c r="B106" s="17">
        <v>739</v>
      </c>
      <c r="C106" s="23">
        <v>20104</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171"/>
  <sheetViews>
    <sheetView showGridLines="0" tabSelected="1" topLeftCell="A19" zoomScale="80" zoomScaleNormal="80" zoomScalePageLayoutView="80" workbookViewId="0">
      <selection activeCell="J33" sqref="J33"/>
    </sheetView>
  </sheetViews>
  <sheetFormatPr defaultColWidth="9" defaultRowHeight="17.25" outlineLevelRow="1" x14ac:dyDescent="0.3"/>
  <cols>
    <col min="1" max="1" width="9" style="35"/>
    <col min="2" max="5" width="35.83203125" style="35" customWidth="1"/>
    <col min="6" max="13" width="9" style="35"/>
    <col min="14" max="14" width="14.6640625" style="35" customWidth="1"/>
    <col min="15" max="15" width="30.33203125" style="35" bestFit="1" customWidth="1"/>
    <col min="16" max="16" width="29.1640625" style="35" bestFit="1" customWidth="1"/>
    <col min="17" max="17" width="13" style="35" bestFit="1" customWidth="1"/>
    <col min="18" max="16384" width="9" style="35"/>
  </cols>
  <sheetData>
    <row r="1" spans="1:16" x14ac:dyDescent="0.3">
      <c r="A1" s="34" t="str">
        <f>Introduction!A1</f>
        <v>Problem Solving with Excel</v>
      </c>
    </row>
    <row r="2" spans="1:16" x14ac:dyDescent="0.3">
      <c r="A2" s="34" t="str">
        <f>Introduction!A2</f>
        <v>Week 4 project</v>
      </c>
    </row>
    <row r="3" spans="1:16" x14ac:dyDescent="0.3">
      <c r="A3" s="34"/>
    </row>
    <row r="4" spans="1:16" x14ac:dyDescent="0.3">
      <c r="A4" s="34"/>
    </row>
    <row r="5" spans="1:16" x14ac:dyDescent="0.3">
      <c r="P5" s="36"/>
    </row>
    <row r="7" spans="1:16" x14ac:dyDescent="0.3">
      <c r="B7" s="37" t="s">
        <v>0</v>
      </c>
    </row>
    <row r="8" spans="1:16" ht="9.75" customHeight="1" x14ac:dyDescent="0.3">
      <c r="B8" s="37"/>
    </row>
    <row r="9" spans="1:16" ht="75.75" customHeight="1" x14ac:dyDescent="0.3">
      <c r="B9" s="38" t="s">
        <v>20</v>
      </c>
      <c r="C9" s="38"/>
      <c r="D9" s="38"/>
      <c r="E9" s="38"/>
      <c r="F9" s="38"/>
      <c r="G9" s="38"/>
      <c r="H9" s="38"/>
      <c r="I9" s="38"/>
      <c r="J9" s="38"/>
      <c r="K9" s="38"/>
    </row>
    <row r="10" spans="1:16" ht="18.75" customHeight="1" x14ac:dyDescent="0.3">
      <c r="B10" s="39"/>
      <c r="C10" s="39"/>
      <c r="D10" s="39"/>
      <c r="E10" s="39"/>
      <c r="F10" s="39"/>
      <c r="G10" s="39"/>
      <c r="H10" s="39"/>
      <c r="I10" s="39"/>
      <c r="J10" s="39"/>
      <c r="K10" s="39"/>
    </row>
    <row r="11" spans="1:16" ht="13.5" customHeight="1" x14ac:dyDescent="0.3">
      <c r="B11" s="39"/>
      <c r="C11" s="39"/>
      <c r="D11" s="39"/>
      <c r="E11" s="39"/>
      <c r="F11" s="39"/>
      <c r="G11" s="39"/>
      <c r="H11" s="39"/>
      <c r="I11" s="39"/>
      <c r="J11" s="39"/>
      <c r="K11" s="39"/>
    </row>
    <row r="12" spans="1:16" outlineLevel="1" x14ac:dyDescent="0.3"/>
    <row r="13" spans="1:16" ht="18" outlineLevel="1" thickBot="1" x14ac:dyDescent="0.35">
      <c r="B13" s="40" t="s">
        <v>1</v>
      </c>
      <c r="C13" s="40" t="s">
        <v>2</v>
      </c>
      <c r="D13" s="40"/>
    </row>
    <row r="14" spans="1:16" outlineLevel="1" x14ac:dyDescent="0.3">
      <c r="B14" s="41">
        <v>5000</v>
      </c>
      <c r="C14" s="42">
        <v>0.8</v>
      </c>
      <c r="D14" s="42"/>
    </row>
    <row r="15" spans="1:16" outlineLevel="1" x14ac:dyDescent="0.3">
      <c r="B15" s="41">
        <v>20000</v>
      </c>
      <c r="C15" s="42">
        <v>1.2</v>
      </c>
      <c r="D15" s="42"/>
    </row>
    <row r="16" spans="1:16" outlineLevel="1" x14ac:dyDescent="0.3">
      <c r="B16" s="41">
        <v>35000</v>
      </c>
      <c r="C16" s="42">
        <v>1.6</v>
      </c>
      <c r="D16" s="42"/>
    </row>
    <row r="18" spans="2:11" x14ac:dyDescent="0.3">
      <c r="B18" s="43" t="s">
        <v>3</v>
      </c>
      <c r="C18" s="43"/>
      <c r="D18" s="43"/>
      <c r="E18" s="43"/>
      <c r="F18" s="43"/>
      <c r="G18" s="43"/>
      <c r="H18" s="43"/>
      <c r="I18" s="43"/>
      <c r="J18" s="43"/>
      <c r="K18" s="43"/>
    </row>
    <row r="19" spans="2:11" x14ac:dyDescent="0.3">
      <c r="B19" s="44"/>
      <c r="C19" s="45"/>
      <c r="D19" s="45"/>
      <c r="E19" s="45"/>
      <c r="F19" s="45"/>
      <c r="G19" s="45"/>
      <c r="H19" s="45"/>
      <c r="I19" s="45"/>
      <c r="J19" s="45"/>
      <c r="K19" s="45"/>
    </row>
    <row r="20" spans="2:11" ht="21.75" customHeight="1" x14ac:dyDescent="0.3">
      <c r="B20" s="46" t="s">
        <v>16</v>
      </c>
      <c r="C20" s="46"/>
      <c r="D20" s="46"/>
      <c r="E20" s="46"/>
      <c r="F20" s="46"/>
      <c r="G20" s="46"/>
      <c r="H20" s="46"/>
      <c r="I20" s="46"/>
      <c r="J20" s="46"/>
      <c r="K20" s="45"/>
    </row>
    <row r="21" spans="2:11" ht="18" outlineLevel="1" thickBot="1" x14ac:dyDescent="0.35">
      <c r="B21" s="46"/>
      <c r="C21" s="46"/>
      <c r="D21" s="46"/>
      <c r="E21" s="46"/>
      <c r="F21" s="46"/>
      <c r="G21" s="46"/>
      <c r="H21" s="46"/>
      <c r="I21" s="46"/>
      <c r="J21" s="46"/>
      <c r="K21" s="45"/>
    </row>
    <row r="22" spans="2:11" outlineLevel="1" x14ac:dyDescent="0.3">
      <c r="B22" s="47" t="s">
        <v>17</v>
      </c>
      <c r="C22" s="48" t="s">
        <v>13</v>
      </c>
      <c r="D22" s="48" t="s">
        <v>9</v>
      </c>
      <c r="E22" s="49" t="s">
        <v>5</v>
      </c>
    </row>
    <row r="23" spans="2:11" outlineLevel="1" x14ac:dyDescent="0.3">
      <c r="B23" s="50">
        <v>1</v>
      </c>
      <c r="C23" s="51">
        <v>1208</v>
      </c>
      <c r="D23" s="61">
        <f>INT(FORECAST(C23,Website_Visits,SocialMedia_Mentions))</f>
        <v>30653</v>
      </c>
      <c r="E23" s="62">
        <f>(D23/1000)*INDEX($C$14:$C$16,MATCH(D23,$B$14:$B$16,1))</f>
        <v>36.7836</v>
      </c>
    </row>
    <row r="24" spans="2:11" outlineLevel="1" x14ac:dyDescent="0.3">
      <c r="B24" s="50">
        <v>2</v>
      </c>
      <c r="C24" s="51">
        <v>1560</v>
      </c>
      <c r="D24" s="61">
        <f>INT(FORECAST(C24,Website_Visits,SocialMedia_Mentions))</f>
        <v>38961</v>
      </c>
      <c r="E24" s="62">
        <f t="shared" ref="E24:E87" si="0">(D24/1000)*INDEX($C$14:$C$16,MATCH(D24,$B$14:$B$16,1))</f>
        <v>62.337600000000002</v>
      </c>
    </row>
    <row r="25" spans="2:11" outlineLevel="1" x14ac:dyDescent="0.3">
      <c r="B25" s="50">
        <v>3</v>
      </c>
      <c r="C25" s="51">
        <v>1087</v>
      </c>
      <c r="D25" s="61">
        <f>INT(FORECAST(C25,Website_Visits,SocialMedia_Mentions))</f>
        <v>27797</v>
      </c>
      <c r="E25" s="62">
        <f t="shared" si="0"/>
        <v>33.356400000000001</v>
      </c>
    </row>
    <row r="26" spans="2:11" outlineLevel="1" x14ac:dyDescent="0.3">
      <c r="B26" s="50">
        <v>4</v>
      </c>
      <c r="C26" s="51">
        <v>625</v>
      </c>
      <c r="D26" s="61">
        <f>INT(FORECAST(C26,Website_Visits,SocialMedia_Mentions))</f>
        <v>16892</v>
      </c>
      <c r="E26" s="62">
        <f t="shared" si="0"/>
        <v>13.5136</v>
      </c>
    </row>
    <row r="27" spans="2:11" outlineLevel="1" x14ac:dyDescent="0.3">
      <c r="B27" s="50">
        <v>5</v>
      </c>
      <c r="C27" s="51">
        <v>1949</v>
      </c>
      <c r="D27" s="61">
        <f>INT(FORECAST(C27,Website_Visits,SocialMedia_Mentions))</f>
        <v>48142</v>
      </c>
      <c r="E27" s="62">
        <f t="shared" si="0"/>
        <v>77.027200000000008</v>
      </c>
    </row>
    <row r="28" spans="2:11" outlineLevel="1" x14ac:dyDescent="0.3">
      <c r="B28" s="50">
        <v>6</v>
      </c>
      <c r="C28" s="51">
        <v>2099</v>
      </c>
      <c r="D28" s="61">
        <f>INT(FORECAST(C28,Website_Visits,SocialMedia_Mentions))</f>
        <v>51683</v>
      </c>
      <c r="E28" s="62">
        <f t="shared" si="0"/>
        <v>82.692800000000005</v>
      </c>
    </row>
    <row r="29" spans="2:11" outlineLevel="1" x14ac:dyDescent="0.3">
      <c r="B29" s="50">
        <v>7</v>
      </c>
      <c r="C29" s="51">
        <v>1439</v>
      </c>
      <c r="D29" s="61">
        <f>INT(FORECAST(C29,Website_Visits,SocialMedia_Mentions))</f>
        <v>36105</v>
      </c>
      <c r="E29" s="62">
        <f t="shared" si="0"/>
        <v>57.768000000000001</v>
      </c>
    </row>
    <row r="30" spans="2:11" outlineLevel="1" x14ac:dyDescent="0.3">
      <c r="B30" s="50">
        <v>8</v>
      </c>
      <c r="C30" s="51">
        <v>1216</v>
      </c>
      <c r="D30" s="61">
        <f>INT(FORECAST(C30,Website_Visits,SocialMedia_Mentions))</f>
        <v>30841</v>
      </c>
      <c r="E30" s="62">
        <f t="shared" si="0"/>
        <v>37.0092</v>
      </c>
    </row>
    <row r="31" spans="2:11" outlineLevel="1" x14ac:dyDescent="0.3">
      <c r="B31" s="50">
        <v>9</v>
      </c>
      <c r="C31" s="51">
        <v>1036</v>
      </c>
      <c r="D31" s="61">
        <f>INT(FORECAST(C31,Website_Visits,SocialMedia_Mentions))</f>
        <v>26593</v>
      </c>
      <c r="E31" s="62">
        <f t="shared" si="0"/>
        <v>31.9116</v>
      </c>
    </row>
    <row r="32" spans="2:11" outlineLevel="1" x14ac:dyDescent="0.3">
      <c r="B32" s="50">
        <v>10</v>
      </c>
      <c r="C32" s="51">
        <v>1638</v>
      </c>
      <c r="D32" s="61">
        <f>INT(FORECAST(C32,Website_Visits,SocialMedia_Mentions))</f>
        <v>40802</v>
      </c>
      <c r="E32" s="62">
        <f t="shared" si="0"/>
        <v>65.283200000000008</v>
      </c>
    </row>
    <row r="33" spans="2:5" outlineLevel="1" x14ac:dyDescent="0.3">
      <c r="B33" s="50">
        <v>11</v>
      </c>
      <c r="C33" s="51">
        <v>2085</v>
      </c>
      <c r="D33" s="61">
        <f>INT(FORECAST(C33,Website_Visits,SocialMedia_Mentions))</f>
        <v>51353</v>
      </c>
      <c r="E33" s="62">
        <f t="shared" si="0"/>
        <v>82.164800000000014</v>
      </c>
    </row>
    <row r="34" spans="2:5" outlineLevel="1" x14ac:dyDescent="0.3">
      <c r="B34" s="50">
        <v>12</v>
      </c>
      <c r="C34" s="51">
        <v>798</v>
      </c>
      <c r="D34" s="61">
        <f>INT(FORECAST(C34,Website_Visits,SocialMedia_Mentions))</f>
        <v>20975</v>
      </c>
      <c r="E34" s="62">
        <f t="shared" si="0"/>
        <v>25.17</v>
      </c>
    </row>
    <row r="35" spans="2:5" outlineLevel="1" x14ac:dyDescent="0.3">
      <c r="B35" s="50">
        <v>13</v>
      </c>
      <c r="C35" s="51">
        <v>1035</v>
      </c>
      <c r="D35" s="61">
        <f>INT(FORECAST(C35,Website_Visits,SocialMedia_Mentions))</f>
        <v>26569</v>
      </c>
      <c r="E35" s="62">
        <f t="shared" si="0"/>
        <v>31.882799999999996</v>
      </c>
    </row>
    <row r="36" spans="2:5" outlineLevel="1" x14ac:dyDescent="0.3">
      <c r="B36" s="50">
        <v>14</v>
      </c>
      <c r="C36" s="51">
        <v>738</v>
      </c>
      <c r="D36" s="61">
        <f>INT(FORECAST(C36,Website_Visits,SocialMedia_Mentions))</f>
        <v>19559</v>
      </c>
      <c r="E36" s="62">
        <f t="shared" si="0"/>
        <v>15.647200000000002</v>
      </c>
    </row>
    <row r="37" spans="2:5" outlineLevel="1" x14ac:dyDescent="0.3">
      <c r="B37" s="50">
        <v>15</v>
      </c>
      <c r="C37" s="51">
        <v>1235</v>
      </c>
      <c r="D37" s="61">
        <f>INT(FORECAST(C37,Website_Visits,SocialMedia_Mentions))</f>
        <v>31290</v>
      </c>
      <c r="E37" s="62">
        <f t="shared" si="0"/>
        <v>37.547999999999995</v>
      </c>
    </row>
    <row r="38" spans="2:5" outlineLevel="1" x14ac:dyDescent="0.3">
      <c r="B38" s="50">
        <v>16</v>
      </c>
      <c r="C38" s="51">
        <v>1627</v>
      </c>
      <c r="D38" s="61">
        <f>INT(FORECAST(C38,Website_Visits,SocialMedia_Mentions))</f>
        <v>40542</v>
      </c>
      <c r="E38" s="62">
        <f t="shared" si="0"/>
        <v>64.867200000000011</v>
      </c>
    </row>
    <row r="39" spans="2:5" outlineLevel="1" x14ac:dyDescent="0.3">
      <c r="B39" s="50">
        <v>17</v>
      </c>
      <c r="C39" s="51">
        <v>1613</v>
      </c>
      <c r="D39" s="61">
        <f>INT(FORECAST(C39,Website_Visits,SocialMedia_Mentions))</f>
        <v>40212</v>
      </c>
      <c r="E39" s="62">
        <f t="shared" si="0"/>
        <v>64.339200000000005</v>
      </c>
    </row>
    <row r="40" spans="2:5" outlineLevel="1" x14ac:dyDescent="0.3">
      <c r="B40" s="50">
        <v>18</v>
      </c>
      <c r="C40" s="51">
        <v>2141</v>
      </c>
      <c r="D40" s="61">
        <f>INT(FORECAST(C40,Website_Visits,SocialMedia_Mentions))</f>
        <v>52674</v>
      </c>
      <c r="E40" s="62">
        <f t="shared" si="0"/>
        <v>84.278400000000005</v>
      </c>
    </row>
    <row r="41" spans="2:5" outlineLevel="1" x14ac:dyDescent="0.3">
      <c r="B41" s="50">
        <v>19</v>
      </c>
      <c r="C41" s="51">
        <v>950</v>
      </c>
      <c r="D41" s="61">
        <f>INT(FORECAST(C41,Website_Visits,SocialMedia_Mentions))</f>
        <v>24563</v>
      </c>
      <c r="E41" s="62">
        <f t="shared" si="0"/>
        <v>29.475599999999996</v>
      </c>
    </row>
    <row r="42" spans="2:5" outlineLevel="1" x14ac:dyDescent="0.3">
      <c r="B42" s="50">
        <v>20</v>
      </c>
      <c r="C42" s="51">
        <v>1439</v>
      </c>
      <c r="D42" s="61">
        <f>INT(FORECAST(C42,Website_Visits,SocialMedia_Mentions))</f>
        <v>36105</v>
      </c>
      <c r="E42" s="62">
        <f t="shared" si="0"/>
        <v>57.768000000000001</v>
      </c>
    </row>
    <row r="43" spans="2:5" outlineLevel="1" x14ac:dyDescent="0.3">
      <c r="B43" s="50">
        <v>21</v>
      </c>
      <c r="C43" s="51">
        <v>861</v>
      </c>
      <c r="D43" s="61">
        <f>INT(FORECAST(C43,Website_Visits,SocialMedia_Mentions))</f>
        <v>22462</v>
      </c>
      <c r="E43" s="62">
        <f t="shared" si="0"/>
        <v>26.9544</v>
      </c>
    </row>
    <row r="44" spans="2:5" outlineLevel="1" x14ac:dyDescent="0.3">
      <c r="B44" s="50">
        <v>22</v>
      </c>
      <c r="C44" s="51">
        <v>1531</v>
      </c>
      <c r="D44" s="61">
        <f>INT(FORECAST(C44,Website_Visits,SocialMedia_Mentions))</f>
        <v>38276</v>
      </c>
      <c r="E44" s="62">
        <f t="shared" si="0"/>
        <v>61.241600000000005</v>
      </c>
    </row>
    <row r="45" spans="2:5" outlineLevel="1" x14ac:dyDescent="0.3">
      <c r="B45" s="50">
        <v>23</v>
      </c>
      <c r="C45" s="51">
        <v>907</v>
      </c>
      <c r="D45" s="61">
        <f>INT(FORECAST(C45,Website_Visits,SocialMedia_Mentions))</f>
        <v>23548</v>
      </c>
      <c r="E45" s="62">
        <f t="shared" si="0"/>
        <v>28.257599999999996</v>
      </c>
    </row>
    <row r="46" spans="2:5" outlineLevel="1" x14ac:dyDescent="0.3">
      <c r="B46" s="50">
        <v>24</v>
      </c>
      <c r="C46" s="51">
        <v>1170</v>
      </c>
      <c r="D46" s="61">
        <f>INT(FORECAST(C46,Website_Visits,SocialMedia_Mentions))</f>
        <v>29756</v>
      </c>
      <c r="E46" s="62">
        <f t="shared" si="0"/>
        <v>35.7072</v>
      </c>
    </row>
    <row r="47" spans="2:5" outlineLevel="1" x14ac:dyDescent="0.3">
      <c r="B47" s="50">
        <v>25</v>
      </c>
      <c r="C47" s="51">
        <v>709</v>
      </c>
      <c r="D47" s="61">
        <f>INT(FORECAST(C47,Website_Visits,SocialMedia_Mentions))</f>
        <v>18875</v>
      </c>
      <c r="E47" s="62">
        <f t="shared" si="0"/>
        <v>15.100000000000001</v>
      </c>
    </row>
    <row r="48" spans="2:5" outlineLevel="1" x14ac:dyDescent="0.3">
      <c r="B48" s="50">
        <v>26</v>
      </c>
      <c r="C48" s="51">
        <v>1672</v>
      </c>
      <c r="D48" s="61">
        <f>INT(FORECAST(C48,Website_Visits,SocialMedia_Mentions))</f>
        <v>41604</v>
      </c>
      <c r="E48" s="62">
        <f t="shared" si="0"/>
        <v>66.566400000000002</v>
      </c>
    </row>
    <row r="49" spans="2:5" outlineLevel="1" x14ac:dyDescent="0.3">
      <c r="B49" s="50">
        <v>27</v>
      </c>
      <c r="C49" s="51">
        <v>649</v>
      </c>
      <c r="D49" s="61">
        <f>INT(FORECAST(C49,Website_Visits,SocialMedia_Mentions))</f>
        <v>17458</v>
      </c>
      <c r="E49" s="62">
        <f t="shared" si="0"/>
        <v>13.9664</v>
      </c>
    </row>
    <row r="50" spans="2:5" outlineLevel="1" x14ac:dyDescent="0.3">
      <c r="B50" s="50">
        <v>28</v>
      </c>
      <c r="C50" s="51">
        <v>1147</v>
      </c>
      <c r="D50" s="61">
        <f>INT(FORECAST(C50,Website_Visits,SocialMedia_Mentions))</f>
        <v>29213</v>
      </c>
      <c r="E50" s="62">
        <f t="shared" si="0"/>
        <v>35.055599999999998</v>
      </c>
    </row>
    <row r="51" spans="2:5" outlineLevel="1" x14ac:dyDescent="0.3">
      <c r="B51" s="50">
        <v>29</v>
      </c>
      <c r="C51" s="51">
        <v>895</v>
      </c>
      <c r="D51" s="61">
        <f>INT(FORECAST(C51,Website_Visits,SocialMedia_Mentions))</f>
        <v>23265</v>
      </c>
      <c r="E51" s="62">
        <f t="shared" si="0"/>
        <v>27.917999999999999</v>
      </c>
    </row>
    <row r="52" spans="2:5" outlineLevel="1" x14ac:dyDescent="0.3">
      <c r="B52" s="50">
        <v>30</v>
      </c>
      <c r="C52" s="51">
        <v>1737</v>
      </c>
      <c r="D52" s="61">
        <f>INT(FORECAST(C52,Website_Visits,SocialMedia_Mentions))</f>
        <v>43139</v>
      </c>
      <c r="E52" s="62">
        <f t="shared" si="0"/>
        <v>69.022400000000005</v>
      </c>
    </row>
    <row r="53" spans="2:5" outlineLevel="1" x14ac:dyDescent="0.3">
      <c r="B53" s="50">
        <v>31</v>
      </c>
      <c r="C53" s="51">
        <v>841</v>
      </c>
      <c r="D53" s="61">
        <f>INT(FORECAST(C53,Website_Visits,SocialMedia_Mentions))</f>
        <v>21990</v>
      </c>
      <c r="E53" s="62">
        <f t="shared" si="0"/>
        <v>26.387999999999998</v>
      </c>
    </row>
    <row r="54" spans="2:5" outlineLevel="1" x14ac:dyDescent="0.3">
      <c r="B54" s="50">
        <v>32</v>
      </c>
      <c r="C54" s="51">
        <v>944</v>
      </c>
      <c r="D54" s="61">
        <f>INT(FORECAST(C54,Website_Visits,SocialMedia_Mentions))</f>
        <v>24421</v>
      </c>
      <c r="E54" s="62">
        <f t="shared" si="0"/>
        <v>29.305199999999999</v>
      </c>
    </row>
    <row r="55" spans="2:5" outlineLevel="1" x14ac:dyDescent="0.3">
      <c r="B55" s="50">
        <v>33</v>
      </c>
      <c r="C55" s="51">
        <v>1029</v>
      </c>
      <c r="D55" s="61">
        <f>INT(FORECAST(C55,Website_Visits,SocialMedia_Mentions))</f>
        <v>26428</v>
      </c>
      <c r="E55" s="62">
        <f t="shared" si="0"/>
        <v>31.7136</v>
      </c>
    </row>
    <row r="56" spans="2:5" outlineLevel="1" x14ac:dyDescent="0.3">
      <c r="B56" s="50">
        <v>34</v>
      </c>
      <c r="C56" s="51">
        <v>988</v>
      </c>
      <c r="D56" s="61">
        <f>INT(FORECAST(C56,Website_Visits,SocialMedia_Mentions))</f>
        <v>25460</v>
      </c>
      <c r="E56" s="62">
        <f t="shared" si="0"/>
        <v>30.552</v>
      </c>
    </row>
    <row r="57" spans="2:5" outlineLevel="1" x14ac:dyDescent="0.3">
      <c r="B57" s="50">
        <v>35</v>
      </c>
      <c r="C57" s="51">
        <v>1060</v>
      </c>
      <c r="D57" s="61">
        <f>INT(FORECAST(C57,Website_Visits,SocialMedia_Mentions))</f>
        <v>27159</v>
      </c>
      <c r="E57" s="62">
        <f t="shared" si="0"/>
        <v>32.590799999999994</v>
      </c>
    </row>
    <row r="58" spans="2:5" outlineLevel="1" x14ac:dyDescent="0.3">
      <c r="B58" s="50">
        <v>36</v>
      </c>
      <c r="C58" s="51">
        <v>1950</v>
      </c>
      <c r="D58" s="61">
        <f>INT(FORECAST(C58,Website_Visits,SocialMedia_Mentions))</f>
        <v>48166</v>
      </c>
      <c r="E58" s="62">
        <f t="shared" si="0"/>
        <v>77.065600000000003</v>
      </c>
    </row>
    <row r="59" spans="2:5" outlineLevel="1" x14ac:dyDescent="0.3">
      <c r="B59" s="50">
        <v>37</v>
      </c>
      <c r="C59" s="51">
        <v>925</v>
      </c>
      <c r="D59" s="61">
        <f>INT(FORECAST(C59,Website_Visits,SocialMedia_Mentions))</f>
        <v>23973</v>
      </c>
      <c r="E59" s="62">
        <f t="shared" si="0"/>
        <v>28.767599999999998</v>
      </c>
    </row>
    <row r="60" spans="2:5" outlineLevel="1" x14ac:dyDescent="0.3">
      <c r="B60" s="50">
        <v>38</v>
      </c>
      <c r="C60" s="51">
        <v>1297</v>
      </c>
      <c r="D60" s="61">
        <f>INT(FORECAST(C60,Website_Visits,SocialMedia_Mentions))</f>
        <v>32753</v>
      </c>
      <c r="E60" s="62">
        <f t="shared" si="0"/>
        <v>39.303599999999996</v>
      </c>
    </row>
    <row r="61" spans="2:5" outlineLevel="1" x14ac:dyDescent="0.3">
      <c r="B61" s="50">
        <v>39</v>
      </c>
      <c r="C61" s="51">
        <v>819</v>
      </c>
      <c r="D61" s="61">
        <f>INT(FORECAST(C61,Website_Visits,SocialMedia_Mentions))</f>
        <v>21471</v>
      </c>
      <c r="E61" s="62">
        <f t="shared" si="0"/>
        <v>25.7652</v>
      </c>
    </row>
    <row r="62" spans="2:5" outlineLevel="1" x14ac:dyDescent="0.3">
      <c r="B62" s="50">
        <v>40</v>
      </c>
      <c r="C62" s="51">
        <v>1196</v>
      </c>
      <c r="D62" s="61">
        <f>INT(FORECAST(C62,Website_Visits,SocialMedia_Mentions))</f>
        <v>30369</v>
      </c>
      <c r="E62" s="62">
        <f t="shared" si="0"/>
        <v>36.442799999999998</v>
      </c>
    </row>
    <row r="63" spans="2:5" outlineLevel="1" x14ac:dyDescent="0.3">
      <c r="B63" s="50">
        <v>41</v>
      </c>
      <c r="C63" s="51">
        <v>1516</v>
      </c>
      <c r="D63" s="61">
        <f>INT(FORECAST(C63,Website_Visits,SocialMedia_Mentions))</f>
        <v>37922</v>
      </c>
      <c r="E63" s="62">
        <f t="shared" si="0"/>
        <v>60.675199999999997</v>
      </c>
    </row>
    <row r="64" spans="2:5" outlineLevel="1" x14ac:dyDescent="0.3">
      <c r="B64" s="50">
        <v>42</v>
      </c>
      <c r="C64" s="51">
        <v>243</v>
      </c>
      <c r="D64" s="61">
        <f>INT(FORECAST(C64,Website_Visits,SocialMedia_Mentions))</f>
        <v>7876</v>
      </c>
      <c r="E64" s="62">
        <f t="shared" si="0"/>
        <v>6.3008000000000006</v>
      </c>
    </row>
    <row r="65" spans="2:5" outlineLevel="1" x14ac:dyDescent="0.3">
      <c r="B65" s="50">
        <v>43</v>
      </c>
      <c r="C65" s="51">
        <v>909</v>
      </c>
      <c r="D65" s="61">
        <f>INT(FORECAST(C65,Website_Visits,SocialMedia_Mentions))</f>
        <v>23595</v>
      </c>
      <c r="E65" s="62">
        <f t="shared" si="0"/>
        <v>28.313999999999997</v>
      </c>
    </row>
    <row r="66" spans="2:5" outlineLevel="1" x14ac:dyDescent="0.3">
      <c r="B66" s="50">
        <v>44</v>
      </c>
      <c r="C66" s="51">
        <v>1167</v>
      </c>
      <c r="D66" s="61">
        <f>INT(FORECAST(C66,Website_Visits,SocialMedia_Mentions))</f>
        <v>29685</v>
      </c>
      <c r="E66" s="62">
        <f t="shared" si="0"/>
        <v>35.622</v>
      </c>
    </row>
    <row r="67" spans="2:5" outlineLevel="1" x14ac:dyDescent="0.3">
      <c r="B67" s="50">
        <v>45</v>
      </c>
      <c r="C67" s="51">
        <v>1237</v>
      </c>
      <c r="D67" s="61">
        <f>INT(FORECAST(C67,Website_Visits,SocialMedia_Mentions))</f>
        <v>31337</v>
      </c>
      <c r="E67" s="62">
        <f t="shared" si="0"/>
        <v>37.604399999999998</v>
      </c>
    </row>
    <row r="68" spans="2:5" outlineLevel="1" x14ac:dyDescent="0.3">
      <c r="B68" s="50">
        <v>46</v>
      </c>
      <c r="C68" s="51">
        <v>1187</v>
      </c>
      <c r="D68" s="61">
        <f>INT(FORECAST(C68,Website_Visits,SocialMedia_Mentions))</f>
        <v>30157</v>
      </c>
      <c r="E68" s="62">
        <f t="shared" si="0"/>
        <v>36.188400000000001</v>
      </c>
    </row>
    <row r="69" spans="2:5" outlineLevel="1" x14ac:dyDescent="0.3">
      <c r="B69" s="50">
        <v>47</v>
      </c>
      <c r="C69" s="51">
        <v>1132</v>
      </c>
      <c r="D69" s="61">
        <f>INT(FORECAST(C69,Website_Visits,SocialMedia_Mentions))</f>
        <v>28859</v>
      </c>
      <c r="E69" s="62">
        <f t="shared" si="0"/>
        <v>34.630800000000001</v>
      </c>
    </row>
    <row r="70" spans="2:5" outlineLevel="1" x14ac:dyDescent="0.3">
      <c r="B70" s="50">
        <v>48</v>
      </c>
      <c r="C70" s="51">
        <v>2611</v>
      </c>
      <c r="D70" s="61">
        <f>INT(FORECAST(C70,Website_Visits,SocialMedia_Mentions))</f>
        <v>63768</v>
      </c>
      <c r="E70" s="62">
        <f t="shared" si="0"/>
        <v>102.0288</v>
      </c>
    </row>
    <row r="71" spans="2:5" outlineLevel="1" x14ac:dyDescent="0.3">
      <c r="B71" s="50">
        <v>49</v>
      </c>
      <c r="C71" s="51">
        <v>833</v>
      </c>
      <c r="D71" s="61">
        <f>INT(FORECAST(C71,Website_Visits,SocialMedia_Mentions))</f>
        <v>21801</v>
      </c>
      <c r="E71" s="62">
        <f t="shared" si="0"/>
        <v>26.161199999999997</v>
      </c>
    </row>
    <row r="72" spans="2:5" outlineLevel="1" x14ac:dyDescent="0.3">
      <c r="B72" s="50">
        <v>50</v>
      </c>
      <c r="C72" s="51">
        <v>887</v>
      </c>
      <c r="D72" s="61">
        <f>INT(FORECAST(C72,Website_Visits,SocialMedia_Mentions))</f>
        <v>23076</v>
      </c>
      <c r="E72" s="62">
        <f t="shared" si="0"/>
        <v>27.691199999999998</v>
      </c>
    </row>
    <row r="73" spans="2:5" outlineLevel="1" x14ac:dyDescent="0.3">
      <c r="B73" s="50">
        <v>51</v>
      </c>
      <c r="C73" s="51">
        <v>555</v>
      </c>
      <c r="D73" s="61">
        <f>INT(FORECAST(C73,Website_Visits,SocialMedia_Mentions))</f>
        <v>15240</v>
      </c>
      <c r="E73" s="62">
        <f t="shared" si="0"/>
        <v>12.192</v>
      </c>
    </row>
    <row r="74" spans="2:5" outlineLevel="1" x14ac:dyDescent="0.3">
      <c r="B74" s="50">
        <v>52</v>
      </c>
      <c r="C74" s="51">
        <v>1345</v>
      </c>
      <c r="D74" s="61">
        <f>INT(FORECAST(C74,Website_Visits,SocialMedia_Mentions))</f>
        <v>33886</v>
      </c>
      <c r="E74" s="62">
        <f t="shared" si="0"/>
        <v>40.663200000000003</v>
      </c>
    </row>
    <row r="75" spans="2:5" outlineLevel="1" x14ac:dyDescent="0.3">
      <c r="B75" s="50">
        <v>53</v>
      </c>
      <c r="C75" s="51">
        <v>851</v>
      </c>
      <c r="D75" s="61">
        <f>INT(FORECAST(C75,Website_Visits,SocialMedia_Mentions))</f>
        <v>22226</v>
      </c>
      <c r="E75" s="62">
        <f t="shared" si="0"/>
        <v>26.671199999999999</v>
      </c>
    </row>
    <row r="76" spans="2:5" outlineLevel="1" x14ac:dyDescent="0.3">
      <c r="B76" s="50">
        <v>54</v>
      </c>
      <c r="C76" s="51">
        <v>1381</v>
      </c>
      <c r="D76" s="61">
        <f>INT(FORECAST(C76,Website_Visits,SocialMedia_Mentions))</f>
        <v>34736</v>
      </c>
      <c r="E76" s="62">
        <f t="shared" si="0"/>
        <v>41.683199999999992</v>
      </c>
    </row>
    <row r="77" spans="2:5" outlineLevel="1" x14ac:dyDescent="0.3">
      <c r="B77" s="50">
        <v>55</v>
      </c>
      <c r="C77" s="51">
        <v>1645</v>
      </c>
      <c r="D77" s="61">
        <f>INT(FORECAST(C77,Website_Visits,SocialMedia_Mentions))</f>
        <v>40967</v>
      </c>
      <c r="E77" s="62">
        <f t="shared" si="0"/>
        <v>65.547200000000004</v>
      </c>
    </row>
    <row r="78" spans="2:5" outlineLevel="1" x14ac:dyDescent="0.3">
      <c r="B78" s="50">
        <v>56</v>
      </c>
      <c r="C78" s="51">
        <v>845</v>
      </c>
      <c r="D78" s="61">
        <f>INT(FORECAST(C78,Website_Visits,SocialMedia_Mentions))</f>
        <v>22085</v>
      </c>
      <c r="E78" s="62">
        <f t="shared" si="0"/>
        <v>26.501999999999999</v>
      </c>
    </row>
    <row r="79" spans="2:5" outlineLevel="1" x14ac:dyDescent="0.3">
      <c r="B79" s="50">
        <v>57</v>
      </c>
      <c r="C79" s="51">
        <v>1059</v>
      </c>
      <c r="D79" s="61">
        <f>INT(FORECAST(C79,Website_Visits,SocialMedia_Mentions))</f>
        <v>27136</v>
      </c>
      <c r="E79" s="62">
        <f t="shared" si="0"/>
        <v>32.563199999999995</v>
      </c>
    </row>
    <row r="80" spans="2:5" outlineLevel="1" x14ac:dyDescent="0.3">
      <c r="B80" s="50">
        <v>58</v>
      </c>
      <c r="C80" s="51">
        <v>1019</v>
      </c>
      <c r="D80" s="61">
        <f>INT(FORECAST(C80,Website_Visits,SocialMedia_Mentions))</f>
        <v>26192</v>
      </c>
      <c r="E80" s="62">
        <f t="shared" si="0"/>
        <v>31.430399999999999</v>
      </c>
    </row>
    <row r="81" spans="2:5" outlineLevel="1" x14ac:dyDescent="0.3">
      <c r="B81" s="50">
        <v>59</v>
      </c>
      <c r="C81" s="51">
        <v>1166</v>
      </c>
      <c r="D81" s="61">
        <f>INT(FORECAST(C81,Website_Visits,SocialMedia_Mentions))</f>
        <v>29661</v>
      </c>
      <c r="E81" s="62">
        <f t="shared" si="0"/>
        <v>35.593200000000003</v>
      </c>
    </row>
    <row r="82" spans="2:5" outlineLevel="1" x14ac:dyDescent="0.3">
      <c r="B82" s="50">
        <v>60</v>
      </c>
      <c r="C82" s="51">
        <v>1138</v>
      </c>
      <c r="D82" s="61">
        <f>INT(FORECAST(C82,Website_Visits,SocialMedia_Mentions))</f>
        <v>29000</v>
      </c>
      <c r="E82" s="62">
        <f t="shared" si="0"/>
        <v>34.799999999999997</v>
      </c>
    </row>
    <row r="83" spans="2:5" outlineLevel="1" x14ac:dyDescent="0.3">
      <c r="B83" s="50">
        <v>61</v>
      </c>
      <c r="C83" s="51">
        <v>1010</v>
      </c>
      <c r="D83" s="61">
        <f>INT(FORECAST(C83,Website_Visits,SocialMedia_Mentions))</f>
        <v>25979</v>
      </c>
      <c r="E83" s="62">
        <f t="shared" si="0"/>
        <v>31.174799999999998</v>
      </c>
    </row>
    <row r="84" spans="2:5" outlineLevel="1" x14ac:dyDescent="0.3">
      <c r="B84" s="50">
        <v>62</v>
      </c>
      <c r="C84" s="51">
        <v>845</v>
      </c>
      <c r="D84" s="61">
        <f>INT(FORECAST(C84,Website_Visits,SocialMedia_Mentions))</f>
        <v>22085</v>
      </c>
      <c r="E84" s="62">
        <f t="shared" si="0"/>
        <v>26.501999999999999</v>
      </c>
    </row>
    <row r="85" spans="2:5" outlineLevel="1" x14ac:dyDescent="0.3">
      <c r="B85" s="50">
        <v>63</v>
      </c>
      <c r="C85" s="51">
        <v>546</v>
      </c>
      <c r="D85" s="61">
        <f>INT(FORECAST(C85,Website_Visits,SocialMedia_Mentions))</f>
        <v>15027</v>
      </c>
      <c r="E85" s="62">
        <f t="shared" si="0"/>
        <v>12.021599999999999</v>
      </c>
    </row>
    <row r="86" spans="2:5" outlineLevel="1" x14ac:dyDescent="0.3">
      <c r="B86" s="50">
        <v>64</v>
      </c>
      <c r="C86" s="51">
        <v>815</v>
      </c>
      <c r="D86" s="61">
        <f>INT(FORECAST(C86,Website_Visits,SocialMedia_Mentions))</f>
        <v>21377</v>
      </c>
      <c r="E86" s="62">
        <f t="shared" si="0"/>
        <v>25.652399999999997</v>
      </c>
    </row>
    <row r="87" spans="2:5" outlineLevel="1" x14ac:dyDescent="0.3">
      <c r="B87" s="50">
        <v>65</v>
      </c>
      <c r="C87" s="51">
        <v>1990</v>
      </c>
      <c r="D87" s="61">
        <f>INT(FORECAST(C87,Website_Visits,SocialMedia_Mentions))</f>
        <v>49110</v>
      </c>
      <c r="E87" s="62">
        <f t="shared" si="0"/>
        <v>78.576000000000008</v>
      </c>
    </row>
    <row r="88" spans="2:5" outlineLevel="1" x14ac:dyDescent="0.3">
      <c r="B88" s="50">
        <v>66</v>
      </c>
      <c r="C88" s="51">
        <v>1066</v>
      </c>
      <c r="D88" s="61">
        <f>INT(FORECAST(C88,Website_Visits,SocialMedia_Mentions))</f>
        <v>27301</v>
      </c>
      <c r="E88" s="62">
        <f t="shared" ref="E88:E122" si="1">(D88/1000)*INDEX($C$14:$C$16,MATCH(D88,$B$14:$B$16,1))</f>
        <v>32.761199999999995</v>
      </c>
    </row>
    <row r="89" spans="2:5" outlineLevel="1" x14ac:dyDescent="0.3">
      <c r="B89" s="50">
        <v>67</v>
      </c>
      <c r="C89" s="51">
        <v>828</v>
      </c>
      <c r="D89" s="61">
        <f>INT(FORECAST(C89,Website_Visits,SocialMedia_Mentions))</f>
        <v>21683</v>
      </c>
      <c r="E89" s="62">
        <f t="shared" si="1"/>
        <v>26.019600000000001</v>
      </c>
    </row>
    <row r="90" spans="2:5" outlineLevel="1" x14ac:dyDescent="0.3">
      <c r="B90" s="50">
        <v>68</v>
      </c>
      <c r="C90" s="51">
        <v>607</v>
      </c>
      <c r="D90" s="61">
        <f>INT(FORECAST(C90,Website_Visits,SocialMedia_Mentions))</f>
        <v>16467</v>
      </c>
      <c r="E90" s="62">
        <f t="shared" si="1"/>
        <v>13.1736</v>
      </c>
    </row>
    <row r="91" spans="2:5" outlineLevel="1" x14ac:dyDescent="0.3">
      <c r="B91" s="50">
        <v>69</v>
      </c>
      <c r="C91" s="51">
        <v>1320</v>
      </c>
      <c r="D91" s="61">
        <f>INT(FORECAST(C91,Website_Visits,SocialMedia_Mentions))</f>
        <v>33296</v>
      </c>
      <c r="E91" s="62">
        <f t="shared" si="1"/>
        <v>39.955199999999998</v>
      </c>
    </row>
    <row r="92" spans="2:5" outlineLevel="1" x14ac:dyDescent="0.3">
      <c r="B92" s="50">
        <v>70</v>
      </c>
      <c r="C92" s="51">
        <v>1253</v>
      </c>
      <c r="D92" s="61">
        <f>INT(FORECAST(C92,Website_Visits,SocialMedia_Mentions))</f>
        <v>31715</v>
      </c>
      <c r="E92" s="62">
        <f t="shared" si="1"/>
        <v>38.058</v>
      </c>
    </row>
    <row r="93" spans="2:5" outlineLevel="1" x14ac:dyDescent="0.3">
      <c r="B93" s="50">
        <v>71</v>
      </c>
      <c r="C93" s="51">
        <v>1434</v>
      </c>
      <c r="D93" s="61">
        <f>INT(FORECAST(C93,Website_Visits,SocialMedia_Mentions))</f>
        <v>35987</v>
      </c>
      <c r="E93" s="62">
        <f t="shared" si="1"/>
        <v>57.579200000000007</v>
      </c>
    </row>
    <row r="94" spans="2:5" outlineLevel="1" x14ac:dyDescent="0.3">
      <c r="B94" s="50">
        <v>72</v>
      </c>
      <c r="C94" s="51">
        <v>1563</v>
      </c>
      <c r="D94" s="61">
        <f>INT(FORECAST(C94,Website_Visits,SocialMedia_Mentions))</f>
        <v>39032</v>
      </c>
      <c r="E94" s="62">
        <f t="shared" si="1"/>
        <v>62.4512</v>
      </c>
    </row>
    <row r="95" spans="2:5" outlineLevel="1" x14ac:dyDescent="0.3">
      <c r="B95" s="50">
        <v>73</v>
      </c>
      <c r="C95" s="51">
        <v>1232</v>
      </c>
      <c r="D95" s="61">
        <f>INT(FORECAST(C95,Website_Visits,SocialMedia_Mentions))</f>
        <v>31219</v>
      </c>
      <c r="E95" s="62">
        <f t="shared" si="1"/>
        <v>37.462800000000001</v>
      </c>
    </row>
    <row r="96" spans="2:5" outlineLevel="1" x14ac:dyDescent="0.3">
      <c r="B96" s="50">
        <v>74</v>
      </c>
      <c r="C96" s="51">
        <v>1297</v>
      </c>
      <c r="D96" s="61">
        <f>INT(FORECAST(C96,Website_Visits,SocialMedia_Mentions))</f>
        <v>32753</v>
      </c>
      <c r="E96" s="62">
        <f t="shared" si="1"/>
        <v>39.303599999999996</v>
      </c>
    </row>
    <row r="97" spans="2:5" outlineLevel="1" x14ac:dyDescent="0.3">
      <c r="B97" s="50">
        <v>75</v>
      </c>
      <c r="C97" s="51">
        <v>396</v>
      </c>
      <c r="D97" s="61">
        <f>INT(FORECAST(C97,Website_Visits,SocialMedia_Mentions))</f>
        <v>11487</v>
      </c>
      <c r="E97" s="62">
        <f t="shared" si="1"/>
        <v>9.1896000000000004</v>
      </c>
    </row>
    <row r="98" spans="2:5" outlineLevel="1" x14ac:dyDescent="0.3">
      <c r="B98" s="50">
        <v>76</v>
      </c>
      <c r="C98" s="51">
        <v>956</v>
      </c>
      <c r="D98" s="61">
        <f>INT(FORECAST(C98,Website_Visits,SocialMedia_Mentions))</f>
        <v>24705</v>
      </c>
      <c r="E98" s="62">
        <f t="shared" si="1"/>
        <v>29.645999999999997</v>
      </c>
    </row>
    <row r="99" spans="2:5" outlineLevel="1" x14ac:dyDescent="0.3">
      <c r="B99" s="50">
        <v>77</v>
      </c>
      <c r="C99" s="51">
        <v>1049</v>
      </c>
      <c r="D99" s="61">
        <f>INT(FORECAST(C99,Website_Visits,SocialMedia_Mentions))</f>
        <v>26900</v>
      </c>
      <c r="E99" s="62">
        <f t="shared" si="1"/>
        <v>32.279999999999994</v>
      </c>
    </row>
    <row r="100" spans="2:5" outlineLevel="1" x14ac:dyDescent="0.3">
      <c r="B100" s="50">
        <v>78</v>
      </c>
      <c r="C100" s="51">
        <v>685</v>
      </c>
      <c r="D100" s="61">
        <f>INT(FORECAST(C100,Website_Visits,SocialMedia_Mentions))</f>
        <v>18308</v>
      </c>
      <c r="E100" s="62">
        <f t="shared" si="1"/>
        <v>14.6464</v>
      </c>
    </row>
    <row r="101" spans="2:5" outlineLevel="1" x14ac:dyDescent="0.3">
      <c r="B101" s="50">
        <v>79</v>
      </c>
      <c r="C101" s="51">
        <v>1365</v>
      </c>
      <c r="D101" s="61">
        <f>INT(FORECAST(C101,Website_Visits,SocialMedia_Mentions))</f>
        <v>34358</v>
      </c>
      <c r="E101" s="62">
        <f t="shared" si="1"/>
        <v>41.229599999999998</v>
      </c>
    </row>
    <row r="102" spans="2:5" outlineLevel="1" x14ac:dyDescent="0.3">
      <c r="B102" s="50">
        <v>80</v>
      </c>
      <c r="C102" s="51">
        <v>1452</v>
      </c>
      <c r="D102" s="61">
        <f>INT(FORECAST(C102,Website_Visits,SocialMedia_Mentions))</f>
        <v>36412</v>
      </c>
      <c r="E102" s="62">
        <f t="shared" si="1"/>
        <v>58.2592</v>
      </c>
    </row>
    <row r="103" spans="2:5" outlineLevel="1" x14ac:dyDescent="0.3">
      <c r="B103" s="50">
        <v>81</v>
      </c>
      <c r="C103" s="51">
        <v>1218</v>
      </c>
      <c r="D103" s="61">
        <f>INT(FORECAST(C103,Website_Visits,SocialMedia_Mentions))</f>
        <v>30889</v>
      </c>
      <c r="E103" s="62">
        <f t="shared" si="1"/>
        <v>37.066800000000001</v>
      </c>
    </row>
    <row r="104" spans="2:5" outlineLevel="1" x14ac:dyDescent="0.3">
      <c r="B104" s="50">
        <v>82</v>
      </c>
      <c r="C104" s="51">
        <v>1592</v>
      </c>
      <c r="D104" s="61">
        <f>INT(FORECAST(C104,Website_Visits,SocialMedia_Mentions))</f>
        <v>39716</v>
      </c>
      <c r="E104" s="62">
        <f t="shared" si="1"/>
        <v>63.545600000000007</v>
      </c>
    </row>
    <row r="105" spans="2:5" outlineLevel="1" x14ac:dyDescent="0.3">
      <c r="B105" s="50">
        <v>83</v>
      </c>
      <c r="C105" s="51">
        <v>1421</v>
      </c>
      <c r="D105" s="61">
        <f>INT(FORECAST(C105,Website_Visits,SocialMedia_Mentions))</f>
        <v>35680</v>
      </c>
      <c r="E105" s="62">
        <f t="shared" si="1"/>
        <v>57.088000000000001</v>
      </c>
    </row>
    <row r="106" spans="2:5" outlineLevel="1" x14ac:dyDescent="0.3">
      <c r="B106" s="50">
        <v>84</v>
      </c>
      <c r="C106" s="51">
        <v>793</v>
      </c>
      <c r="D106" s="61">
        <f>INT(FORECAST(C106,Website_Visits,SocialMedia_Mentions))</f>
        <v>20857</v>
      </c>
      <c r="E106" s="62">
        <f t="shared" si="1"/>
        <v>25.028399999999998</v>
      </c>
    </row>
    <row r="107" spans="2:5" outlineLevel="1" x14ac:dyDescent="0.3">
      <c r="B107" s="50">
        <v>85</v>
      </c>
      <c r="C107" s="51">
        <v>957</v>
      </c>
      <c r="D107" s="61">
        <f>INT(FORECAST(C107,Website_Visits,SocialMedia_Mentions))</f>
        <v>24728</v>
      </c>
      <c r="E107" s="62">
        <f t="shared" si="1"/>
        <v>29.6736</v>
      </c>
    </row>
    <row r="108" spans="2:5" outlineLevel="1" x14ac:dyDescent="0.3">
      <c r="B108" s="50">
        <v>86</v>
      </c>
      <c r="C108" s="51">
        <v>912</v>
      </c>
      <c r="D108" s="61">
        <f>INT(FORECAST(C108,Website_Visits,SocialMedia_Mentions))</f>
        <v>23666</v>
      </c>
      <c r="E108" s="62">
        <f t="shared" si="1"/>
        <v>28.3992</v>
      </c>
    </row>
    <row r="109" spans="2:5" outlineLevel="1" x14ac:dyDescent="0.3">
      <c r="B109" s="50">
        <v>87</v>
      </c>
      <c r="C109" s="51">
        <v>697</v>
      </c>
      <c r="D109" s="61">
        <f>INT(FORECAST(C109,Website_Visits,SocialMedia_Mentions))</f>
        <v>18591</v>
      </c>
      <c r="E109" s="62">
        <f t="shared" si="1"/>
        <v>14.872800000000002</v>
      </c>
    </row>
    <row r="110" spans="2:5" outlineLevel="1" x14ac:dyDescent="0.3">
      <c r="B110" s="50">
        <v>88</v>
      </c>
      <c r="C110" s="51">
        <v>1419</v>
      </c>
      <c r="D110" s="61">
        <f>INT(FORECAST(C110,Website_Visits,SocialMedia_Mentions))</f>
        <v>35633</v>
      </c>
      <c r="E110" s="62">
        <f t="shared" si="1"/>
        <v>57.012800000000006</v>
      </c>
    </row>
    <row r="111" spans="2:5" outlineLevel="1" x14ac:dyDescent="0.3">
      <c r="B111" s="50">
        <v>89</v>
      </c>
      <c r="C111" s="51">
        <v>698</v>
      </c>
      <c r="D111" s="61">
        <f>INT(FORECAST(C111,Website_Visits,SocialMedia_Mentions))</f>
        <v>18615</v>
      </c>
      <c r="E111" s="62">
        <f t="shared" si="1"/>
        <v>14.891999999999999</v>
      </c>
    </row>
    <row r="112" spans="2:5" outlineLevel="1" x14ac:dyDescent="0.3">
      <c r="B112" s="50">
        <v>90</v>
      </c>
      <c r="C112" s="51">
        <v>1743</v>
      </c>
      <c r="D112" s="61">
        <f>INT(FORECAST(C112,Website_Visits,SocialMedia_Mentions))</f>
        <v>43280</v>
      </c>
      <c r="E112" s="62">
        <f t="shared" si="1"/>
        <v>69.248000000000005</v>
      </c>
    </row>
    <row r="113" spans="2:5" outlineLevel="1" x14ac:dyDescent="0.3">
      <c r="B113" s="50">
        <v>91</v>
      </c>
      <c r="C113" s="51">
        <v>1999</v>
      </c>
      <c r="D113" s="61">
        <f>INT(FORECAST(C113,Website_Visits,SocialMedia_Mentions))</f>
        <v>49323</v>
      </c>
      <c r="E113" s="62">
        <f t="shared" si="1"/>
        <v>78.916800000000009</v>
      </c>
    </row>
    <row r="114" spans="2:5" outlineLevel="1" x14ac:dyDescent="0.3">
      <c r="B114" s="50">
        <v>92</v>
      </c>
      <c r="C114" s="51">
        <v>1241</v>
      </c>
      <c r="D114" s="61">
        <f>INT(FORECAST(C114,Website_Visits,SocialMedia_Mentions))</f>
        <v>31431</v>
      </c>
      <c r="E114" s="62">
        <f t="shared" si="1"/>
        <v>37.717199999999998</v>
      </c>
    </row>
    <row r="115" spans="2:5" outlineLevel="1" x14ac:dyDescent="0.3">
      <c r="B115" s="50">
        <v>93</v>
      </c>
      <c r="C115" s="51">
        <v>984</v>
      </c>
      <c r="D115" s="61">
        <f>INT(FORECAST(C115,Website_Visits,SocialMedia_Mentions))</f>
        <v>25365</v>
      </c>
      <c r="E115" s="62">
        <f t="shared" si="1"/>
        <v>30.437999999999995</v>
      </c>
    </row>
    <row r="116" spans="2:5" outlineLevel="1" x14ac:dyDescent="0.3">
      <c r="B116" s="50">
        <v>94</v>
      </c>
      <c r="C116" s="51">
        <v>2298</v>
      </c>
      <c r="D116" s="61">
        <f>INT(FORECAST(C116,Website_Visits,SocialMedia_Mentions))</f>
        <v>56380</v>
      </c>
      <c r="E116" s="62">
        <f t="shared" si="1"/>
        <v>90.208000000000013</v>
      </c>
    </row>
    <row r="117" spans="2:5" outlineLevel="1" x14ac:dyDescent="0.3">
      <c r="B117" s="50">
        <v>95</v>
      </c>
      <c r="C117" s="51">
        <v>1707</v>
      </c>
      <c r="D117" s="61">
        <f>INT(FORECAST(C117,Website_Visits,SocialMedia_Mentions))</f>
        <v>42431</v>
      </c>
      <c r="E117" s="62">
        <f t="shared" si="1"/>
        <v>67.889600000000002</v>
      </c>
    </row>
    <row r="118" spans="2:5" outlineLevel="1" x14ac:dyDescent="0.3">
      <c r="B118" s="50">
        <v>96</v>
      </c>
      <c r="C118" s="51">
        <v>788</v>
      </c>
      <c r="D118" s="61">
        <f>INT(FORECAST(C118,Website_Visits,SocialMedia_Mentions))</f>
        <v>20739</v>
      </c>
      <c r="E118" s="62">
        <f t="shared" si="1"/>
        <v>24.886800000000001</v>
      </c>
    </row>
    <row r="119" spans="2:5" outlineLevel="1" x14ac:dyDescent="0.3">
      <c r="B119" s="50">
        <v>97</v>
      </c>
      <c r="C119" s="51">
        <v>2092</v>
      </c>
      <c r="D119" s="61">
        <f>INT(FORECAST(C119,Website_Visits,SocialMedia_Mentions))</f>
        <v>51518</v>
      </c>
      <c r="E119" s="62">
        <f t="shared" si="1"/>
        <v>82.42880000000001</v>
      </c>
    </row>
    <row r="120" spans="2:5" outlineLevel="1" x14ac:dyDescent="0.3">
      <c r="B120" s="50">
        <v>98</v>
      </c>
      <c r="C120" s="51">
        <v>1571</v>
      </c>
      <c r="D120" s="61">
        <f>INT(FORECAST(C120,Website_Visits,SocialMedia_Mentions))</f>
        <v>39221</v>
      </c>
      <c r="E120" s="62">
        <f t="shared" si="1"/>
        <v>62.753599999999999</v>
      </c>
    </row>
    <row r="121" spans="2:5" outlineLevel="1" x14ac:dyDescent="0.3">
      <c r="B121" s="50">
        <v>99</v>
      </c>
      <c r="C121" s="51">
        <v>1953</v>
      </c>
      <c r="D121" s="61">
        <f>INT(FORECAST(C121,Website_Visits,SocialMedia_Mentions))</f>
        <v>48237</v>
      </c>
      <c r="E121" s="62">
        <f t="shared" si="1"/>
        <v>77.179200000000009</v>
      </c>
    </row>
    <row r="122" spans="2:5" ht="18" outlineLevel="1" thickBot="1" x14ac:dyDescent="0.35">
      <c r="B122" s="52">
        <v>100</v>
      </c>
      <c r="C122" s="53">
        <v>963</v>
      </c>
      <c r="D122" s="61">
        <f>INT(FORECAST(C122,Website_Visits,SocialMedia_Mentions))</f>
        <v>24870</v>
      </c>
      <c r="E122" s="62">
        <f t="shared" si="1"/>
        <v>29.844000000000001</v>
      </c>
    </row>
    <row r="123" spans="2:5" x14ac:dyDescent="0.3">
      <c r="B123" s="54"/>
    </row>
    <row r="124" spans="2:5" x14ac:dyDescent="0.3">
      <c r="B124" s="54" t="s">
        <v>4</v>
      </c>
    </row>
    <row r="125" spans="2:5" outlineLevel="1" x14ac:dyDescent="0.3">
      <c r="B125" s="37"/>
    </row>
    <row r="126" spans="2:5" outlineLevel="1" x14ac:dyDescent="0.3">
      <c r="B126" s="55" t="s">
        <v>6</v>
      </c>
      <c r="C126" s="56">
        <v>-2500</v>
      </c>
      <c r="D126" s="56"/>
    </row>
    <row r="127" spans="2:5" outlineLevel="1" x14ac:dyDescent="0.3">
      <c r="B127" s="55" t="s">
        <v>7</v>
      </c>
      <c r="C127" s="57">
        <v>0.05</v>
      </c>
      <c r="D127" s="57"/>
    </row>
    <row r="128" spans="2:5" outlineLevel="1" x14ac:dyDescent="0.3">
      <c r="B128" s="55" t="s">
        <v>8</v>
      </c>
      <c r="C128" s="57">
        <f>C127/365</f>
        <v>1.3698630136986303E-4</v>
      </c>
      <c r="D128" s="57"/>
    </row>
    <row r="129" spans="2:4" ht="18" outlineLevel="1" thickBot="1" x14ac:dyDescent="0.35"/>
    <row r="130" spans="2:4" ht="18" outlineLevel="1" thickBot="1" x14ac:dyDescent="0.35">
      <c r="B130" s="58" t="s">
        <v>10</v>
      </c>
      <c r="C130" s="59">
        <f>NPV(C128,C126,E23:E122)</f>
        <v>1627.5445404760537</v>
      </c>
      <c r="D130" s="60"/>
    </row>
    <row r="131" spans="2:4" outlineLevel="1" x14ac:dyDescent="0.3"/>
    <row r="132" spans="2:4" outlineLevel="1" x14ac:dyDescent="0.3">
      <c r="B132" s="54"/>
    </row>
    <row r="146" spans="2:2" x14ac:dyDescent="0.3">
      <c r="B146" s="37"/>
    </row>
    <row r="171" spans="2:2" x14ac:dyDescent="0.3">
      <c r="B171" s="37"/>
    </row>
  </sheetData>
  <mergeCells count="3">
    <mergeCell ref="B20:J21"/>
    <mergeCell ref="B18:K18"/>
    <mergeCell ref="B9:K9"/>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sent_to_answer_1">
                <anchor moveWithCells="1" sizeWithCells="1">
                  <from>
                    <xdr:col>4</xdr:col>
                    <xdr:colOff>228600</xdr:colOff>
                    <xdr:row>126</xdr:row>
                    <xdr:rowOff>123825</xdr:rowOff>
                  </from>
                  <to>
                    <xdr:col>5</xdr:col>
                    <xdr:colOff>219075</xdr:colOff>
                    <xdr:row>129</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A32020"/>
  </sheetPr>
  <dimension ref="A1:O171"/>
  <sheetViews>
    <sheetView showGridLines="0" topLeftCell="A117" zoomScale="80" zoomScaleNormal="80" zoomScalePageLayoutView="80" workbookViewId="0">
      <selection activeCell="C137" sqref="C137"/>
    </sheetView>
  </sheetViews>
  <sheetFormatPr defaultColWidth="9" defaultRowHeight="12.75" outlineLevelRow="1" x14ac:dyDescent="0.2"/>
  <cols>
    <col min="1" max="1" width="9" style="1"/>
    <col min="2" max="4" width="35.83203125" style="1" customWidth="1"/>
    <col min="5" max="5" width="12.83203125" style="1" customWidth="1"/>
    <col min="6" max="12" width="9" style="1"/>
    <col min="13" max="13" width="14.6640625" style="1" customWidth="1"/>
    <col min="14" max="14" width="30.33203125" style="1" bestFit="1" customWidth="1"/>
    <col min="15" max="15" width="29.1640625" style="1" bestFit="1" customWidth="1"/>
    <col min="16" max="16" width="13" style="1" bestFit="1" customWidth="1"/>
    <col min="17" max="16384" width="9" style="1"/>
  </cols>
  <sheetData>
    <row r="1" spans="1:15" x14ac:dyDescent="0.2">
      <c r="A1" s="2" t="str">
        <f>Introduction!A1</f>
        <v>Problem Solving with Excel</v>
      </c>
    </row>
    <row r="2" spans="1:15" x14ac:dyDescent="0.2">
      <c r="A2" s="2" t="str">
        <f>Introduction!A2</f>
        <v>Week 4 project</v>
      </c>
    </row>
    <row r="3" spans="1:15" x14ac:dyDescent="0.2">
      <c r="A3" s="2">
        <f>Introduction!A3</f>
        <v>0</v>
      </c>
    </row>
    <row r="4" spans="1:15" x14ac:dyDescent="0.2">
      <c r="A4" s="2" t="s">
        <v>14</v>
      </c>
    </row>
    <row r="5" spans="1:15" x14ac:dyDescent="0.2">
      <c r="O5" s="4"/>
    </row>
    <row r="7" spans="1:15" ht="18.75" x14ac:dyDescent="0.3">
      <c r="B7" s="3" t="s">
        <v>0</v>
      </c>
    </row>
    <row r="8" spans="1:15" ht="18.75" x14ac:dyDescent="0.3">
      <c r="B8" s="3"/>
    </row>
    <row r="9" spans="1:15" ht="36.75" customHeight="1" x14ac:dyDescent="0.2">
      <c r="B9" s="33" t="s">
        <v>15</v>
      </c>
      <c r="C9" s="33"/>
      <c r="D9" s="33"/>
      <c r="E9" s="33"/>
      <c r="F9" s="33"/>
      <c r="G9" s="33"/>
      <c r="H9" s="33"/>
      <c r="I9" s="33"/>
      <c r="J9" s="33"/>
      <c r="K9" s="33"/>
    </row>
    <row r="10" spans="1:15" x14ac:dyDescent="0.2">
      <c r="B10" s="32"/>
      <c r="C10" s="32"/>
    </row>
    <row r="11" spans="1:15" x14ac:dyDescent="0.2">
      <c r="B11" s="8"/>
      <c r="C11" s="8"/>
    </row>
    <row r="12" spans="1:15" outlineLevel="1" x14ac:dyDescent="0.2"/>
    <row r="13" spans="1:15" ht="13.5" outlineLevel="1" thickBot="1" x14ac:dyDescent="0.25">
      <c r="B13" s="16" t="s">
        <v>1</v>
      </c>
      <c r="C13" s="16" t="s">
        <v>2</v>
      </c>
    </row>
    <row r="14" spans="1:15" outlineLevel="1" x14ac:dyDescent="0.2">
      <c r="B14" s="17">
        <v>5000</v>
      </c>
      <c r="C14" s="18">
        <v>0.8</v>
      </c>
    </row>
    <row r="15" spans="1:15" outlineLevel="1" x14ac:dyDescent="0.2">
      <c r="B15" s="17">
        <v>20000</v>
      </c>
      <c r="C15" s="18">
        <v>1.2</v>
      </c>
    </row>
    <row r="16" spans="1:15" outlineLevel="1" x14ac:dyDescent="0.2">
      <c r="B16" s="17">
        <v>35000</v>
      </c>
      <c r="C16" s="18">
        <v>1.6</v>
      </c>
    </row>
    <row r="18" spans="2:11" x14ac:dyDescent="0.2">
      <c r="B18" s="31" t="s">
        <v>3</v>
      </c>
      <c r="C18" s="31"/>
      <c r="D18" s="31"/>
      <c r="E18" s="31"/>
      <c r="F18" s="31"/>
      <c r="G18" s="31"/>
      <c r="H18" s="31"/>
      <c r="I18" s="31"/>
      <c r="J18" s="31"/>
      <c r="K18" s="31"/>
    </row>
    <row r="19" spans="2:11" ht="12.75" customHeight="1" x14ac:dyDescent="0.2">
      <c r="B19" s="8"/>
    </row>
    <row r="20" spans="2:11" x14ac:dyDescent="0.2">
      <c r="B20" s="30" t="s">
        <v>16</v>
      </c>
      <c r="C20" s="30"/>
      <c r="D20" s="30"/>
      <c r="E20" s="30"/>
      <c r="F20" s="30"/>
      <c r="G20" s="30"/>
      <c r="H20" s="30"/>
      <c r="I20" s="30"/>
      <c r="J20" s="30"/>
    </row>
    <row r="21" spans="2:11" ht="13.5" outlineLevel="1" thickBot="1" x14ac:dyDescent="0.25">
      <c r="B21" s="30"/>
      <c r="C21" s="30"/>
      <c r="D21" s="30"/>
      <c r="E21" s="30"/>
      <c r="F21" s="30"/>
      <c r="G21" s="30"/>
      <c r="H21" s="30"/>
      <c r="I21" s="30"/>
      <c r="J21" s="30"/>
    </row>
    <row r="22" spans="2:11" outlineLevel="1" x14ac:dyDescent="0.2">
      <c r="B22" s="13" t="s">
        <v>17</v>
      </c>
      <c r="C22" s="14" t="s">
        <v>13</v>
      </c>
      <c r="D22" s="14" t="s">
        <v>9</v>
      </c>
      <c r="E22" s="15" t="s">
        <v>5</v>
      </c>
    </row>
    <row r="23" spans="2:11" outlineLevel="1" x14ac:dyDescent="0.2">
      <c r="B23" s="27">
        <v>1</v>
      </c>
      <c r="C23" s="9">
        <v>1208</v>
      </c>
      <c r="D23" s="9">
        <f t="shared" ref="D23:D54" si="0">INT(FORECAST(C23,Website_Visits,SocialMedia_Mentions))</f>
        <v>30653</v>
      </c>
      <c r="E23" s="24">
        <f>(D23/1000)*INDEX($C$14:$C$16,MATCH(D23,$B$14:$B$16,1))</f>
        <v>36.7836</v>
      </c>
    </row>
    <row r="24" spans="2:11" outlineLevel="1" x14ac:dyDescent="0.2">
      <c r="B24" s="27">
        <v>2</v>
      </c>
      <c r="C24" s="9">
        <v>1560</v>
      </c>
      <c r="D24" s="9">
        <f t="shared" si="0"/>
        <v>38961</v>
      </c>
      <c r="E24" s="24">
        <f t="shared" ref="E23:E31" si="1">(D24/1000)*INDEX($C$14:$C$16,MATCH(D24,$B$14:$B$16,1))</f>
        <v>62.337600000000002</v>
      </c>
    </row>
    <row r="25" spans="2:11" outlineLevel="1" x14ac:dyDescent="0.2">
      <c r="B25" s="27">
        <v>3</v>
      </c>
      <c r="C25" s="9">
        <v>1087</v>
      </c>
      <c r="D25" s="9">
        <f t="shared" si="0"/>
        <v>27797</v>
      </c>
      <c r="E25" s="24">
        <f>('Culminating Exersise - (ANS)'!D25/1000)*INDEX($C$14:$C$16,MATCH(D25,$B$14:$B$16,1))</f>
        <v>33.356400000000001</v>
      </c>
    </row>
    <row r="26" spans="2:11" outlineLevel="1" x14ac:dyDescent="0.2">
      <c r="B26" s="27">
        <v>4</v>
      </c>
      <c r="C26" s="9">
        <v>625</v>
      </c>
      <c r="D26" s="9">
        <f t="shared" si="0"/>
        <v>16892</v>
      </c>
      <c r="E26" s="24">
        <f t="shared" si="1"/>
        <v>13.5136</v>
      </c>
    </row>
    <row r="27" spans="2:11" outlineLevel="1" x14ac:dyDescent="0.2">
      <c r="B27" s="27">
        <v>5</v>
      </c>
      <c r="C27" s="9">
        <v>1949</v>
      </c>
      <c r="D27" s="9">
        <f t="shared" si="0"/>
        <v>48142</v>
      </c>
      <c r="E27" s="24">
        <f t="shared" si="1"/>
        <v>77.027200000000008</v>
      </c>
    </row>
    <row r="28" spans="2:11" outlineLevel="1" x14ac:dyDescent="0.2">
      <c r="B28" s="27">
        <v>6</v>
      </c>
      <c r="C28" s="9">
        <v>2099</v>
      </c>
      <c r="D28" s="9">
        <f t="shared" si="0"/>
        <v>51683</v>
      </c>
      <c r="E28" s="24">
        <f t="shared" si="1"/>
        <v>82.692800000000005</v>
      </c>
    </row>
    <row r="29" spans="2:11" outlineLevel="1" x14ac:dyDescent="0.2">
      <c r="B29" s="27">
        <v>7</v>
      </c>
      <c r="C29" s="9">
        <v>1439</v>
      </c>
      <c r="D29" s="9">
        <f t="shared" si="0"/>
        <v>36105</v>
      </c>
      <c r="E29" s="24">
        <f t="shared" si="1"/>
        <v>57.768000000000001</v>
      </c>
    </row>
    <row r="30" spans="2:11" outlineLevel="1" x14ac:dyDescent="0.2">
      <c r="B30" s="27">
        <v>8</v>
      </c>
      <c r="C30" s="9">
        <v>1216</v>
      </c>
      <c r="D30" s="9">
        <f t="shared" si="0"/>
        <v>30841</v>
      </c>
      <c r="E30" s="24">
        <f t="shared" si="1"/>
        <v>37.0092</v>
      </c>
    </row>
    <row r="31" spans="2:11" outlineLevel="1" x14ac:dyDescent="0.2">
      <c r="B31" s="27">
        <v>9</v>
      </c>
      <c r="C31" s="9">
        <v>1036</v>
      </c>
      <c r="D31" s="9">
        <f t="shared" si="0"/>
        <v>26593</v>
      </c>
      <c r="E31" s="24">
        <f t="shared" si="1"/>
        <v>31.9116</v>
      </c>
    </row>
    <row r="32" spans="2:11" outlineLevel="1" x14ac:dyDescent="0.2">
      <c r="B32" s="27">
        <v>10</v>
      </c>
      <c r="C32" s="9">
        <v>1638</v>
      </c>
      <c r="D32" s="9">
        <f t="shared" si="0"/>
        <v>40802</v>
      </c>
      <c r="E32" s="24">
        <f t="shared" ref="E32" si="2">(D32/1000)*INDEX($C$14:$C$16,MATCH(D32,$B$14:$B$16,1))</f>
        <v>65.283200000000008</v>
      </c>
    </row>
    <row r="33" spans="2:5" outlineLevel="1" x14ac:dyDescent="0.2">
      <c r="B33" s="27">
        <v>11</v>
      </c>
      <c r="C33" s="9">
        <v>2085</v>
      </c>
      <c r="D33" s="9">
        <f t="shared" si="0"/>
        <v>51353</v>
      </c>
      <c r="E33" s="24">
        <f t="shared" ref="E33:E54" si="3">(D33/1000)*INDEX($C$14:$C$16,MATCH(D33,$B$14:$B$16,1))</f>
        <v>82.164800000000014</v>
      </c>
    </row>
    <row r="34" spans="2:5" outlineLevel="1" x14ac:dyDescent="0.2">
      <c r="B34" s="27">
        <v>12</v>
      </c>
      <c r="C34" s="9">
        <v>798</v>
      </c>
      <c r="D34" s="9">
        <f t="shared" si="0"/>
        <v>20975</v>
      </c>
      <c r="E34" s="24">
        <f t="shared" si="3"/>
        <v>25.17</v>
      </c>
    </row>
    <row r="35" spans="2:5" outlineLevel="1" x14ac:dyDescent="0.2">
      <c r="B35" s="27">
        <v>13</v>
      </c>
      <c r="C35" s="9">
        <v>1035</v>
      </c>
      <c r="D35" s="9">
        <f t="shared" si="0"/>
        <v>26569</v>
      </c>
      <c r="E35" s="24">
        <f t="shared" si="3"/>
        <v>31.882799999999996</v>
      </c>
    </row>
    <row r="36" spans="2:5" outlineLevel="1" x14ac:dyDescent="0.2">
      <c r="B36" s="27">
        <v>14</v>
      </c>
      <c r="C36" s="9">
        <v>738</v>
      </c>
      <c r="D36" s="9">
        <f t="shared" si="0"/>
        <v>19559</v>
      </c>
      <c r="E36" s="24">
        <f t="shared" si="3"/>
        <v>15.647200000000002</v>
      </c>
    </row>
    <row r="37" spans="2:5" outlineLevel="1" x14ac:dyDescent="0.2">
      <c r="B37" s="27">
        <v>15</v>
      </c>
      <c r="C37" s="9">
        <v>1235</v>
      </c>
      <c r="D37" s="9">
        <f t="shared" si="0"/>
        <v>31290</v>
      </c>
      <c r="E37" s="24">
        <f t="shared" si="3"/>
        <v>37.547999999999995</v>
      </c>
    </row>
    <row r="38" spans="2:5" outlineLevel="1" x14ac:dyDescent="0.2">
      <c r="B38" s="27">
        <v>16</v>
      </c>
      <c r="C38" s="9">
        <v>1627</v>
      </c>
      <c r="D38" s="9">
        <f t="shared" si="0"/>
        <v>40542</v>
      </c>
      <c r="E38" s="24">
        <f t="shared" si="3"/>
        <v>64.867200000000011</v>
      </c>
    </row>
    <row r="39" spans="2:5" outlineLevel="1" x14ac:dyDescent="0.2">
      <c r="B39" s="27">
        <v>17</v>
      </c>
      <c r="C39" s="9">
        <v>1613</v>
      </c>
      <c r="D39" s="9">
        <f t="shared" si="0"/>
        <v>40212</v>
      </c>
      <c r="E39" s="24">
        <f t="shared" si="3"/>
        <v>64.339200000000005</v>
      </c>
    </row>
    <row r="40" spans="2:5" outlineLevel="1" x14ac:dyDescent="0.2">
      <c r="B40" s="27">
        <v>18</v>
      </c>
      <c r="C40" s="9">
        <v>2141</v>
      </c>
      <c r="D40" s="9">
        <f t="shared" si="0"/>
        <v>52674</v>
      </c>
      <c r="E40" s="24">
        <f t="shared" si="3"/>
        <v>84.278400000000005</v>
      </c>
    </row>
    <row r="41" spans="2:5" outlineLevel="1" x14ac:dyDescent="0.2">
      <c r="B41" s="27">
        <v>19</v>
      </c>
      <c r="C41" s="9">
        <v>950</v>
      </c>
      <c r="D41" s="9">
        <f t="shared" si="0"/>
        <v>24563</v>
      </c>
      <c r="E41" s="24">
        <f t="shared" si="3"/>
        <v>29.475599999999996</v>
      </c>
    </row>
    <row r="42" spans="2:5" outlineLevel="1" x14ac:dyDescent="0.2">
      <c r="B42" s="27">
        <v>20</v>
      </c>
      <c r="C42" s="9">
        <v>1439</v>
      </c>
      <c r="D42" s="9">
        <f t="shared" si="0"/>
        <v>36105</v>
      </c>
      <c r="E42" s="24">
        <f t="shared" si="3"/>
        <v>57.768000000000001</v>
      </c>
    </row>
    <row r="43" spans="2:5" outlineLevel="1" x14ac:dyDescent="0.2">
      <c r="B43" s="27">
        <v>21</v>
      </c>
      <c r="C43" s="9">
        <v>861</v>
      </c>
      <c r="D43" s="9">
        <f t="shared" si="0"/>
        <v>22462</v>
      </c>
      <c r="E43" s="24">
        <f t="shared" si="3"/>
        <v>26.9544</v>
      </c>
    </row>
    <row r="44" spans="2:5" outlineLevel="1" x14ac:dyDescent="0.2">
      <c r="B44" s="27">
        <v>22</v>
      </c>
      <c r="C44" s="9">
        <v>1531</v>
      </c>
      <c r="D44" s="9">
        <f t="shared" si="0"/>
        <v>38276</v>
      </c>
      <c r="E44" s="24">
        <f t="shared" si="3"/>
        <v>61.241600000000005</v>
      </c>
    </row>
    <row r="45" spans="2:5" outlineLevel="1" x14ac:dyDescent="0.2">
      <c r="B45" s="27">
        <v>23</v>
      </c>
      <c r="C45" s="9">
        <v>907</v>
      </c>
      <c r="D45" s="9">
        <f t="shared" si="0"/>
        <v>23548</v>
      </c>
      <c r="E45" s="24">
        <f t="shared" si="3"/>
        <v>28.257599999999996</v>
      </c>
    </row>
    <row r="46" spans="2:5" outlineLevel="1" x14ac:dyDescent="0.2">
      <c r="B46" s="27">
        <v>24</v>
      </c>
      <c r="C46" s="9">
        <v>1170</v>
      </c>
      <c r="D46" s="9">
        <f t="shared" si="0"/>
        <v>29756</v>
      </c>
      <c r="E46" s="24">
        <f t="shared" si="3"/>
        <v>35.7072</v>
      </c>
    </row>
    <row r="47" spans="2:5" outlineLevel="1" x14ac:dyDescent="0.2">
      <c r="B47" s="27">
        <v>25</v>
      </c>
      <c r="C47" s="9">
        <v>709</v>
      </c>
      <c r="D47" s="9">
        <f t="shared" si="0"/>
        <v>18875</v>
      </c>
      <c r="E47" s="24">
        <f t="shared" si="3"/>
        <v>15.100000000000001</v>
      </c>
    </row>
    <row r="48" spans="2:5" outlineLevel="1" x14ac:dyDescent="0.2">
      <c r="B48" s="27">
        <v>26</v>
      </c>
      <c r="C48" s="9">
        <v>1672</v>
      </c>
      <c r="D48" s="9">
        <f t="shared" si="0"/>
        <v>41604</v>
      </c>
      <c r="E48" s="24">
        <f t="shared" si="3"/>
        <v>66.566400000000002</v>
      </c>
    </row>
    <row r="49" spans="2:5" outlineLevel="1" x14ac:dyDescent="0.2">
      <c r="B49" s="27">
        <v>27</v>
      </c>
      <c r="C49" s="9">
        <v>649</v>
      </c>
      <c r="D49" s="9">
        <f t="shared" si="0"/>
        <v>17458</v>
      </c>
      <c r="E49" s="24">
        <f t="shared" si="3"/>
        <v>13.9664</v>
      </c>
    </row>
    <row r="50" spans="2:5" outlineLevel="1" x14ac:dyDescent="0.2">
      <c r="B50" s="27">
        <v>28</v>
      </c>
      <c r="C50" s="9">
        <v>1147</v>
      </c>
      <c r="D50" s="9">
        <f t="shared" si="0"/>
        <v>29213</v>
      </c>
      <c r="E50" s="24">
        <f t="shared" si="3"/>
        <v>35.055599999999998</v>
      </c>
    </row>
    <row r="51" spans="2:5" outlineLevel="1" x14ac:dyDescent="0.2">
      <c r="B51" s="27">
        <v>29</v>
      </c>
      <c r="C51" s="9">
        <v>895</v>
      </c>
      <c r="D51" s="9">
        <f t="shared" si="0"/>
        <v>23265</v>
      </c>
      <c r="E51" s="24">
        <f t="shared" si="3"/>
        <v>27.917999999999999</v>
      </c>
    </row>
    <row r="52" spans="2:5" outlineLevel="1" x14ac:dyDescent="0.2">
      <c r="B52" s="27">
        <v>30</v>
      </c>
      <c r="C52" s="9">
        <v>1737</v>
      </c>
      <c r="D52" s="9">
        <f t="shared" si="0"/>
        <v>43139</v>
      </c>
      <c r="E52" s="24">
        <f t="shared" si="3"/>
        <v>69.022400000000005</v>
      </c>
    </row>
    <row r="53" spans="2:5" outlineLevel="1" x14ac:dyDescent="0.2">
      <c r="B53" s="27">
        <v>31</v>
      </c>
      <c r="C53" s="9">
        <v>841</v>
      </c>
      <c r="D53" s="9">
        <f t="shared" si="0"/>
        <v>21990</v>
      </c>
      <c r="E53" s="24">
        <f t="shared" si="3"/>
        <v>26.387999999999998</v>
      </c>
    </row>
    <row r="54" spans="2:5" outlineLevel="1" x14ac:dyDescent="0.2">
      <c r="B54" s="27">
        <v>32</v>
      </c>
      <c r="C54" s="9">
        <v>944</v>
      </c>
      <c r="D54" s="9">
        <f t="shared" si="0"/>
        <v>24421</v>
      </c>
      <c r="E54" s="24">
        <f t="shared" si="3"/>
        <v>29.305199999999999</v>
      </c>
    </row>
    <row r="55" spans="2:5" outlineLevel="1" x14ac:dyDescent="0.2">
      <c r="B55" s="27">
        <v>33</v>
      </c>
      <c r="C55" s="9">
        <v>1029</v>
      </c>
      <c r="D55" s="9">
        <f t="shared" ref="D55:D86" si="4">INT(FORECAST(C55,Website_Visits,SocialMedia_Mentions))</f>
        <v>26428</v>
      </c>
      <c r="E55" s="24">
        <f t="shared" ref="E55:E86" si="5">(D55/1000)*INDEX($C$14:$C$16,MATCH(D55,$B$14:$B$16,1))</f>
        <v>31.7136</v>
      </c>
    </row>
    <row r="56" spans="2:5" outlineLevel="1" x14ac:dyDescent="0.2">
      <c r="B56" s="27">
        <v>34</v>
      </c>
      <c r="C56" s="9">
        <v>988</v>
      </c>
      <c r="D56" s="9">
        <f t="shared" si="4"/>
        <v>25460</v>
      </c>
      <c r="E56" s="24">
        <f t="shared" si="5"/>
        <v>30.552</v>
      </c>
    </row>
    <row r="57" spans="2:5" outlineLevel="1" x14ac:dyDescent="0.2">
      <c r="B57" s="27">
        <v>35</v>
      </c>
      <c r="C57" s="9">
        <v>1060</v>
      </c>
      <c r="D57" s="9">
        <f t="shared" si="4"/>
        <v>27159</v>
      </c>
      <c r="E57" s="24">
        <f t="shared" si="5"/>
        <v>32.590799999999994</v>
      </c>
    </row>
    <row r="58" spans="2:5" outlineLevel="1" x14ac:dyDescent="0.2">
      <c r="B58" s="27">
        <v>36</v>
      </c>
      <c r="C58" s="9">
        <v>1950</v>
      </c>
      <c r="D58" s="9">
        <f t="shared" si="4"/>
        <v>48166</v>
      </c>
      <c r="E58" s="24">
        <f t="shared" si="5"/>
        <v>77.065600000000003</v>
      </c>
    </row>
    <row r="59" spans="2:5" outlineLevel="1" x14ac:dyDescent="0.2">
      <c r="B59" s="27">
        <v>37</v>
      </c>
      <c r="C59" s="9">
        <v>925</v>
      </c>
      <c r="D59" s="9">
        <f t="shared" si="4"/>
        <v>23973</v>
      </c>
      <c r="E59" s="24">
        <f t="shared" si="5"/>
        <v>28.767599999999998</v>
      </c>
    </row>
    <row r="60" spans="2:5" outlineLevel="1" x14ac:dyDescent="0.2">
      <c r="B60" s="27">
        <v>38</v>
      </c>
      <c r="C60" s="9">
        <v>1297</v>
      </c>
      <c r="D60" s="9">
        <f t="shared" si="4"/>
        <v>32753</v>
      </c>
      <c r="E60" s="24">
        <f t="shared" si="5"/>
        <v>39.303599999999996</v>
      </c>
    </row>
    <row r="61" spans="2:5" outlineLevel="1" x14ac:dyDescent="0.2">
      <c r="B61" s="27">
        <v>39</v>
      </c>
      <c r="C61" s="9">
        <v>819</v>
      </c>
      <c r="D61" s="9">
        <f t="shared" si="4"/>
        <v>21471</v>
      </c>
      <c r="E61" s="24">
        <f t="shared" si="5"/>
        <v>25.7652</v>
      </c>
    </row>
    <row r="62" spans="2:5" outlineLevel="1" x14ac:dyDescent="0.2">
      <c r="B62" s="27">
        <v>40</v>
      </c>
      <c r="C62" s="9">
        <v>1196</v>
      </c>
      <c r="D62" s="9">
        <f t="shared" si="4"/>
        <v>30369</v>
      </c>
      <c r="E62" s="24">
        <f t="shared" si="5"/>
        <v>36.442799999999998</v>
      </c>
    </row>
    <row r="63" spans="2:5" outlineLevel="1" x14ac:dyDescent="0.2">
      <c r="B63" s="27">
        <v>41</v>
      </c>
      <c r="C63" s="9">
        <v>1516</v>
      </c>
      <c r="D63" s="9">
        <f t="shared" si="4"/>
        <v>37922</v>
      </c>
      <c r="E63" s="24">
        <f t="shared" si="5"/>
        <v>60.675199999999997</v>
      </c>
    </row>
    <row r="64" spans="2:5" outlineLevel="1" x14ac:dyDescent="0.2">
      <c r="B64" s="27">
        <v>42</v>
      </c>
      <c r="C64" s="9">
        <v>243</v>
      </c>
      <c r="D64" s="9">
        <f t="shared" si="4"/>
        <v>7876</v>
      </c>
      <c r="E64" s="24">
        <f t="shared" si="5"/>
        <v>6.3008000000000006</v>
      </c>
    </row>
    <row r="65" spans="2:5" outlineLevel="1" x14ac:dyDescent="0.2">
      <c r="B65" s="27">
        <v>43</v>
      </c>
      <c r="C65" s="9">
        <v>909</v>
      </c>
      <c r="D65" s="9">
        <f t="shared" si="4"/>
        <v>23595</v>
      </c>
      <c r="E65" s="24">
        <f t="shared" si="5"/>
        <v>28.313999999999997</v>
      </c>
    </row>
    <row r="66" spans="2:5" outlineLevel="1" x14ac:dyDescent="0.2">
      <c r="B66" s="27">
        <v>44</v>
      </c>
      <c r="C66" s="9">
        <v>1167</v>
      </c>
      <c r="D66" s="9">
        <f t="shared" si="4"/>
        <v>29685</v>
      </c>
      <c r="E66" s="24">
        <f t="shared" si="5"/>
        <v>35.622</v>
      </c>
    </row>
    <row r="67" spans="2:5" outlineLevel="1" x14ac:dyDescent="0.2">
      <c r="B67" s="27">
        <v>45</v>
      </c>
      <c r="C67" s="9">
        <v>1237</v>
      </c>
      <c r="D67" s="9">
        <f t="shared" si="4"/>
        <v>31337</v>
      </c>
      <c r="E67" s="24">
        <f t="shared" si="5"/>
        <v>37.604399999999998</v>
      </c>
    </row>
    <row r="68" spans="2:5" outlineLevel="1" x14ac:dyDescent="0.2">
      <c r="B68" s="27">
        <v>46</v>
      </c>
      <c r="C68" s="9">
        <v>1187</v>
      </c>
      <c r="D68" s="9">
        <f t="shared" si="4"/>
        <v>30157</v>
      </c>
      <c r="E68" s="24">
        <f t="shared" si="5"/>
        <v>36.188400000000001</v>
      </c>
    </row>
    <row r="69" spans="2:5" outlineLevel="1" x14ac:dyDescent="0.2">
      <c r="B69" s="27">
        <v>47</v>
      </c>
      <c r="C69" s="9">
        <v>1132</v>
      </c>
      <c r="D69" s="9">
        <f t="shared" si="4"/>
        <v>28859</v>
      </c>
      <c r="E69" s="24">
        <f t="shared" si="5"/>
        <v>34.630800000000001</v>
      </c>
    </row>
    <row r="70" spans="2:5" outlineLevel="1" x14ac:dyDescent="0.2">
      <c r="B70" s="27">
        <v>48</v>
      </c>
      <c r="C70" s="9">
        <v>2611</v>
      </c>
      <c r="D70" s="9">
        <f t="shared" si="4"/>
        <v>63768</v>
      </c>
      <c r="E70" s="24">
        <f t="shared" si="5"/>
        <v>102.0288</v>
      </c>
    </row>
    <row r="71" spans="2:5" outlineLevel="1" x14ac:dyDescent="0.2">
      <c r="B71" s="27">
        <v>49</v>
      </c>
      <c r="C71" s="9">
        <v>833</v>
      </c>
      <c r="D71" s="9">
        <f t="shared" si="4"/>
        <v>21801</v>
      </c>
      <c r="E71" s="24">
        <f t="shared" si="5"/>
        <v>26.161199999999997</v>
      </c>
    </row>
    <row r="72" spans="2:5" outlineLevel="1" x14ac:dyDescent="0.2">
      <c r="B72" s="27">
        <v>50</v>
      </c>
      <c r="C72" s="9">
        <v>887</v>
      </c>
      <c r="D72" s="9">
        <f t="shared" si="4"/>
        <v>23076</v>
      </c>
      <c r="E72" s="24">
        <f t="shared" si="5"/>
        <v>27.691199999999998</v>
      </c>
    </row>
    <row r="73" spans="2:5" outlineLevel="1" x14ac:dyDescent="0.2">
      <c r="B73" s="27">
        <v>51</v>
      </c>
      <c r="C73" s="9">
        <v>555</v>
      </c>
      <c r="D73" s="9">
        <f t="shared" si="4"/>
        <v>15240</v>
      </c>
      <c r="E73" s="24">
        <f t="shared" si="5"/>
        <v>12.192</v>
      </c>
    </row>
    <row r="74" spans="2:5" outlineLevel="1" x14ac:dyDescent="0.2">
      <c r="B74" s="27">
        <v>52</v>
      </c>
      <c r="C74" s="9">
        <v>1345</v>
      </c>
      <c r="D74" s="9">
        <f t="shared" si="4"/>
        <v>33886</v>
      </c>
      <c r="E74" s="24">
        <f t="shared" si="5"/>
        <v>40.663200000000003</v>
      </c>
    </row>
    <row r="75" spans="2:5" outlineLevel="1" x14ac:dyDescent="0.2">
      <c r="B75" s="27">
        <v>53</v>
      </c>
      <c r="C75" s="9">
        <v>851</v>
      </c>
      <c r="D75" s="9">
        <f t="shared" si="4"/>
        <v>22226</v>
      </c>
      <c r="E75" s="24">
        <f t="shared" si="5"/>
        <v>26.671199999999999</v>
      </c>
    </row>
    <row r="76" spans="2:5" outlineLevel="1" x14ac:dyDescent="0.2">
      <c r="B76" s="27">
        <v>54</v>
      </c>
      <c r="C76" s="9">
        <v>1381</v>
      </c>
      <c r="D76" s="9">
        <f t="shared" si="4"/>
        <v>34736</v>
      </c>
      <c r="E76" s="24">
        <f t="shared" si="5"/>
        <v>41.683199999999992</v>
      </c>
    </row>
    <row r="77" spans="2:5" outlineLevel="1" x14ac:dyDescent="0.2">
      <c r="B77" s="27">
        <v>55</v>
      </c>
      <c r="C77" s="9">
        <v>1645</v>
      </c>
      <c r="D77" s="9">
        <f t="shared" si="4"/>
        <v>40967</v>
      </c>
      <c r="E77" s="24">
        <f t="shared" si="5"/>
        <v>65.547200000000004</v>
      </c>
    </row>
    <row r="78" spans="2:5" outlineLevel="1" x14ac:dyDescent="0.2">
      <c r="B78" s="27">
        <v>56</v>
      </c>
      <c r="C78" s="9">
        <v>845</v>
      </c>
      <c r="D78" s="9">
        <f t="shared" si="4"/>
        <v>22085</v>
      </c>
      <c r="E78" s="24">
        <f t="shared" si="5"/>
        <v>26.501999999999999</v>
      </c>
    </row>
    <row r="79" spans="2:5" outlineLevel="1" x14ac:dyDescent="0.2">
      <c r="B79" s="27">
        <v>57</v>
      </c>
      <c r="C79" s="9">
        <v>1059</v>
      </c>
      <c r="D79" s="9">
        <f t="shared" si="4"/>
        <v>27136</v>
      </c>
      <c r="E79" s="24">
        <f t="shared" si="5"/>
        <v>32.563199999999995</v>
      </c>
    </row>
    <row r="80" spans="2:5" outlineLevel="1" x14ac:dyDescent="0.2">
      <c r="B80" s="27">
        <v>58</v>
      </c>
      <c r="C80" s="9">
        <v>1019</v>
      </c>
      <c r="D80" s="9">
        <f t="shared" si="4"/>
        <v>26192</v>
      </c>
      <c r="E80" s="24">
        <f t="shared" si="5"/>
        <v>31.430399999999999</v>
      </c>
    </row>
    <row r="81" spans="2:5" outlineLevel="1" x14ac:dyDescent="0.2">
      <c r="B81" s="27">
        <v>59</v>
      </c>
      <c r="C81" s="9">
        <v>1166</v>
      </c>
      <c r="D81" s="9">
        <f t="shared" si="4"/>
        <v>29661</v>
      </c>
      <c r="E81" s="24">
        <f t="shared" si="5"/>
        <v>35.593200000000003</v>
      </c>
    </row>
    <row r="82" spans="2:5" outlineLevel="1" x14ac:dyDescent="0.2">
      <c r="B82" s="27">
        <v>60</v>
      </c>
      <c r="C82" s="9">
        <v>1138</v>
      </c>
      <c r="D82" s="9">
        <f t="shared" si="4"/>
        <v>29000</v>
      </c>
      <c r="E82" s="24">
        <f t="shared" si="5"/>
        <v>34.799999999999997</v>
      </c>
    </row>
    <row r="83" spans="2:5" outlineLevel="1" x14ac:dyDescent="0.2">
      <c r="B83" s="27">
        <v>61</v>
      </c>
      <c r="C83" s="9">
        <v>1010</v>
      </c>
      <c r="D83" s="9">
        <f t="shared" si="4"/>
        <v>25979</v>
      </c>
      <c r="E83" s="24">
        <f t="shared" si="5"/>
        <v>31.174799999999998</v>
      </c>
    </row>
    <row r="84" spans="2:5" outlineLevel="1" x14ac:dyDescent="0.2">
      <c r="B84" s="27">
        <v>62</v>
      </c>
      <c r="C84" s="9">
        <v>845</v>
      </c>
      <c r="D84" s="9">
        <f t="shared" si="4"/>
        <v>22085</v>
      </c>
      <c r="E84" s="24">
        <f t="shared" si="5"/>
        <v>26.501999999999999</v>
      </c>
    </row>
    <row r="85" spans="2:5" outlineLevel="1" x14ac:dyDescent="0.2">
      <c r="B85" s="27">
        <v>63</v>
      </c>
      <c r="C85" s="9">
        <v>546</v>
      </c>
      <c r="D85" s="9">
        <f t="shared" si="4"/>
        <v>15027</v>
      </c>
      <c r="E85" s="24">
        <f t="shared" si="5"/>
        <v>12.021599999999999</v>
      </c>
    </row>
    <row r="86" spans="2:5" outlineLevel="1" x14ac:dyDescent="0.2">
      <c r="B86" s="27">
        <v>64</v>
      </c>
      <c r="C86" s="9">
        <v>815</v>
      </c>
      <c r="D86" s="9">
        <f t="shared" si="4"/>
        <v>21377</v>
      </c>
      <c r="E86" s="24">
        <f t="shared" si="5"/>
        <v>25.652399999999997</v>
      </c>
    </row>
    <row r="87" spans="2:5" outlineLevel="1" x14ac:dyDescent="0.2">
      <c r="B87" s="27">
        <v>65</v>
      </c>
      <c r="C87" s="9">
        <v>1990</v>
      </c>
      <c r="D87" s="9">
        <f t="shared" ref="D87:D118" si="6">INT(FORECAST(C87,Website_Visits,SocialMedia_Mentions))</f>
        <v>49110</v>
      </c>
      <c r="E87" s="24">
        <f t="shared" ref="E87:E118" si="7">(D87/1000)*INDEX($C$14:$C$16,MATCH(D87,$B$14:$B$16,1))</f>
        <v>78.576000000000008</v>
      </c>
    </row>
    <row r="88" spans="2:5" outlineLevel="1" x14ac:dyDescent="0.2">
      <c r="B88" s="27">
        <v>66</v>
      </c>
      <c r="C88" s="9">
        <v>1066</v>
      </c>
      <c r="D88" s="9">
        <f t="shared" si="6"/>
        <v>27301</v>
      </c>
      <c r="E88" s="24">
        <f t="shared" si="7"/>
        <v>32.761199999999995</v>
      </c>
    </row>
    <row r="89" spans="2:5" outlineLevel="1" x14ac:dyDescent="0.2">
      <c r="B89" s="27">
        <v>67</v>
      </c>
      <c r="C89" s="9">
        <v>828</v>
      </c>
      <c r="D89" s="9">
        <f t="shared" si="6"/>
        <v>21683</v>
      </c>
      <c r="E89" s="24">
        <f t="shared" si="7"/>
        <v>26.019600000000001</v>
      </c>
    </row>
    <row r="90" spans="2:5" outlineLevel="1" x14ac:dyDescent="0.2">
      <c r="B90" s="27">
        <v>68</v>
      </c>
      <c r="C90" s="9">
        <v>607</v>
      </c>
      <c r="D90" s="9">
        <f t="shared" si="6"/>
        <v>16467</v>
      </c>
      <c r="E90" s="24">
        <f t="shared" si="7"/>
        <v>13.1736</v>
      </c>
    </row>
    <row r="91" spans="2:5" outlineLevel="1" x14ac:dyDescent="0.2">
      <c r="B91" s="27">
        <v>69</v>
      </c>
      <c r="C91" s="9">
        <v>1320</v>
      </c>
      <c r="D91" s="9">
        <f t="shared" si="6"/>
        <v>33296</v>
      </c>
      <c r="E91" s="24">
        <f t="shared" si="7"/>
        <v>39.955199999999998</v>
      </c>
    </row>
    <row r="92" spans="2:5" outlineLevel="1" x14ac:dyDescent="0.2">
      <c r="B92" s="27">
        <v>70</v>
      </c>
      <c r="C92" s="9">
        <v>1253</v>
      </c>
      <c r="D92" s="9">
        <f t="shared" si="6"/>
        <v>31715</v>
      </c>
      <c r="E92" s="24">
        <f t="shared" si="7"/>
        <v>38.058</v>
      </c>
    </row>
    <row r="93" spans="2:5" outlineLevel="1" x14ac:dyDescent="0.2">
      <c r="B93" s="27">
        <v>71</v>
      </c>
      <c r="C93" s="9">
        <v>1434</v>
      </c>
      <c r="D93" s="9">
        <f t="shared" si="6"/>
        <v>35987</v>
      </c>
      <c r="E93" s="24">
        <f t="shared" si="7"/>
        <v>57.579200000000007</v>
      </c>
    </row>
    <row r="94" spans="2:5" outlineLevel="1" x14ac:dyDescent="0.2">
      <c r="B94" s="27">
        <v>72</v>
      </c>
      <c r="C94" s="9">
        <v>1563</v>
      </c>
      <c r="D94" s="9">
        <f t="shared" si="6"/>
        <v>39032</v>
      </c>
      <c r="E94" s="24">
        <f t="shared" si="7"/>
        <v>62.4512</v>
      </c>
    </row>
    <row r="95" spans="2:5" outlineLevel="1" x14ac:dyDescent="0.2">
      <c r="B95" s="27">
        <v>73</v>
      </c>
      <c r="C95" s="9">
        <v>1232</v>
      </c>
      <c r="D95" s="9">
        <f t="shared" si="6"/>
        <v>31219</v>
      </c>
      <c r="E95" s="24">
        <f t="shared" si="7"/>
        <v>37.462800000000001</v>
      </c>
    </row>
    <row r="96" spans="2:5" outlineLevel="1" x14ac:dyDescent="0.2">
      <c r="B96" s="27">
        <v>74</v>
      </c>
      <c r="C96" s="9">
        <v>1297</v>
      </c>
      <c r="D96" s="9">
        <f t="shared" si="6"/>
        <v>32753</v>
      </c>
      <c r="E96" s="24">
        <f t="shared" si="7"/>
        <v>39.303599999999996</v>
      </c>
    </row>
    <row r="97" spans="2:5" outlineLevel="1" x14ac:dyDescent="0.2">
      <c r="B97" s="27">
        <v>75</v>
      </c>
      <c r="C97" s="9">
        <v>396</v>
      </c>
      <c r="D97" s="9">
        <f t="shared" si="6"/>
        <v>11487</v>
      </c>
      <c r="E97" s="24">
        <f t="shared" si="7"/>
        <v>9.1896000000000004</v>
      </c>
    </row>
    <row r="98" spans="2:5" outlineLevel="1" x14ac:dyDescent="0.2">
      <c r="B98" s="27">
        <v>76</v>
      </c>
      <c r="C98" s="9">
        <v>956</v>
      </c>
      <c r="D98" s="9">
        <f t="shared" si="6"/>
        <v>24705</v>
      </c>
      <c r="E98" s="24">
        <f t="shared" si="7"/>
        <v>29.645999999999997</v>
      </c>
    </row>
    <row r="99" spans="2:5" outlineLevel="1" x14ac:dyDescent="0.2">
      <c r="B99" s="27">
        <v>77</v>
      </c>
      <c r="C99" s="9">
        <v>1049</v>
      </c>
      <c r="D99" s="9">
        <f t="shared" si="6"/>
        <v>26900</v>
      </c>
      <c r="E99" s="24">
        <f t="shared" si="7"/>
        <v>32.279999999999994</v>
      </c>
    </row>
    <row r="100" spans="2:5" outlineLevel="1" x14ac:dyDescent="0.2">
      <c r="B100" s="27">
        <v>78</v>
      </c>
      <c r="C100" s="9">
        <v>685</v>
      </c>
      <c r="D100" s="9">
        <f t="shared" si="6"/>
        <v>18308</v>
      </c>
      <c r="E100" s="24">
        <f t="shared" si="7"/>
        <v>14.6464</v>
      </c>
    </row>
    <row r="101" spans="2:5" outlineLevel="1" x14ac:dyDescent="0.2">
      <c r="B101" s="27">
        <v>79</v>
      </c>
      <c r="C101" s="9">
        <v>1365</v>
      </c>
      <c r="D101" s="9">
        <f t="shared" si="6"/>
        <v>34358</v>
      </c>
      <c r="E101" s="24">
        <f t="shared" si="7"/>
        <v>41.229599999999998</v>
      </c>
    </row>
    <row r="102" spans="2:5" outlineLevel="1" x14ac:dyDescent="0.2">
      <c r="B102" s="27">
        <v>80</v>
      </c>
      <c r="C102" s="9">
        <v>1452</v>
      </c>
      <c r="D102" s="9">
        <f t="shared" si="6"/>
        <v>36412</v>
      </c>
      <c r="E102" s="24">
        <f t="shared" si="7"/>
        <v>58.2592</v>
      </c>
    </row>
    <row r="103" spans="2:5" outlineLevel="1" x14ac:dyDescent="0.2">
      <c r="B103" s="27">
        <v>81</v>
      </c>
      <c r="C103" s="9">
        <v>1218</v>
      </c>
      <c r="D103" s="9">
        <f t="shared" si="6"/>
        <v>30889</v>
      </c>
      <c r="E103" s="24">
        <f t="shared" si="7"/>
        <v>37.066800000000001</v>
      </c>
    </row>
    <row r="104" spans="2:5" outlineLevel="1" x14ac:dyDescent="0.2">
      <c r="B104" s="27">
        <v>82</v>
      </c>
      <c r="C104" s="9">
        <v>1592</v>
      </c>
      <c r="D104" s="9">
        <f t="shared" si="6"/>
        <v>39716</v>
      </c>
      <c r="E104" s="24">
        <f t="shared" si="7"/>
        <v>63.545600000000007</v>
      </c>
    </row>
    <row r="105" spans="2:5" outlineLevel="1" x14ac:dyDescent="0.2">
      <c r="B105" s="27">
        <v>83</v>
      </c>
      <c r="C105" s="9">
        <v>1421</v>
      </c>
      <c r="D105" s="9">
        <f t="shared" si="6"/>
        <v>35680</v>
      </c>
      <c r="E105" s="24">
        <f t="shared" si="7"/>
        <v>57.088000000000001</v>
      </c>
    </row>
    <row r="106" spans="2:5" outlineLevel="1" x14ac:dyDescent="0.2">
      <c r="B106" s="27">
        <v>84</v>
      </c>
      <c r="C106" s="9">
        <v>793</v>
      </c>
      <c r="D106" s="9">
        <f t="shared" si="6"/>
        <v>20857</v>
      </c>
      <c r="E106" s="24">
        <f t="shared" si="7"/>
        <v>25.028399999999998</v>
      </c>
    </row>
    <row r="107" spans="2:5" outlineLevel="1" x14ac:dyDescent="0.2">
      <c r="B107" s="27">
        <v>85</v>
      </c>
      <c r="C107" s="9">
        <v>957</v>
      </c>
      <c r="D107" s="9">
        <f t="shared" si="6"/>
        <v>24728</v>
      </c>
      <c r="E107" s="24">
        <f t="shared" si="7"/>
        <v>29.6736</v>
      </c>
    </row>
    <row r="108" spans="2:5" outlineLevel="1" x14ac:dyDescent="0.2">
      <c r="B108" s="27">
        <v>86</v>
      </c>
      <c r="C108" s="9">
        <v>912</v>
      </c>
      <c r="D108" s="9">
        <f t="shared" si="6"/>
        <v>23666</v>
      </c>
      <c r="E108" s="24">
        <f t="shared" si="7"/>
        <v>28.3992</v>
      </c>
    </row>
    <row r="109" spans="2:5" outlineLevel="1" x14ac:dyDescent="0.2">
      <c r="B109" s="27">
        <v>87</v>
      </c>
      <c r="C109" s="9">
        <v>697</v>
      </c>
      <c r="D109" s="9">
        <f t="shared" si="6"/>
        <v>18591</v>
      </c>
      <c r="E109" s="24">
        <f t="shared" si="7"/>
        <v>14.872800000000002</v>
      </c>
    </row>
    <row r="110" spans="2:5" outlineLevel="1" x14ac:dyDescent="0.2">
      <c r="B110" s="27">
        <v>88</v>
      </c>
      <c r="C110" s="9">
        <v>1419</v>
      </c>
      <c r="D110" s="9">
        <f t="shared" si="6"/>
        <v>35633</v>
      </c>
      <c r="E110" s="24">
        <f t="shared" si="7"/>
        <v>57.012800000000006</v>
      </c>
    </row>
    <row r="111" spans="2:5" outlineLevel="1" x14ac:dyDescent="0.2">
      <c r="B111" s="27">
        <v>89</v>
      </c>
      <c r="C111" s="9">
        <v>698</v>
      </c>
      <c r="D111" s="9">
        <f t="shared" si="6"/>
        <v>18615</v>
      </c>
      <c r="E111" s="24">
        <f t="shared" si="7"/>
        <v>14.891999999999999</v>
      </c>
    </row>
    <row r="112" spans="2:5" outlineLevel="1" x14ac:dyDescent="0.2">
      <c r="B112" s="27">
        <v>90</v>
      </c>
      <c r="C112" s="9">
        <v>1743</v>
      </c>
      <c r="D112" s="9">
        <f t="shared" si="6"/>
        <v>43280</v>
      </c>
      <c r="E112" s="24">
        <f t="shared" si="7"/>
        <v>69.248000000000005</v>
      </c>
    </row>
    <row r="113" spans="2:9" outlineLevel="1" x14ac:dyDescent="0.2">
      <c r="B113" s="27">
        <v>91</v>
      </c>
      <c r="C113" s="9">
        <v>1999</v>
      </c>
      <c r="D113" s="9">
        <f t="shared" si="6"/>
        <v>49323</v>
      </c>
      <c r="E113" s="24">
        <f t="shared" si="7"/>
        <v>78.916800000000009</v>
      </c>
    </row>
    <row r="114" spans="2:9" outlineLevel="1" x14ac:dyDescent="0.2">
      <c r="B114" s="27">
        <v>92</v>
      </c>
      <c r="C114" s="9">
        <v>1241</v>
      </c>
      <c r="D114" s="9">
        <f t="shared" si="6"/>
        <v>31431</v>
      </c>
      <c r="E114" s="24">
        <f t="shared" si="7"/>
        <v>37.717199999999998</v>
      </c>
    </row>
    <row r="115" spans="2:9" outlineLevel="1" x14ac:dyDescent="0.2">
      <c r="B115" s="27">
        <v>93</v>
      </c>
      <c r="C115" s="9">
        <v>984</v>
      </c>
      <c r="D115" s="9">
        <f t="shared" si="6"/>
        <v>25365</v>
      </c>
      <c r="E115" s="24">
        <f t="shared" si="7"/>
        <v>30.437999999999995</v>
      </c>
    </row>
    <row r="116" spans="2:9" outlineLevel="1" x14ac:dyDescent="0.2">
      <c r="B116" s="27">
        <v>94</v>
      </c>
      <c r="C116" s="9">
        <v>2298</v>
      </c>
      <c r="D116" s="9">
        <f t="shared" si="6"/>
        <v>56380</v>
      </c>
      <c r="E116" s="24">
        <f t="shared" si="7"/>
        <v>90.208000000000013</v>
      </c>
    </row>
    <row r="117" spans="2:9" outlineLevel="1" x14ac:dyDescent="0.2">
      <c r="B117" s="27">
        <v>95</v>
      </c>
      <c r="C117" s="9">
        <v>1707</v>
      </c>
      <c r="D117" s="9">
        <f t="shared" si="6"/>
        <v>42431</v>
      </c>
      <c r="E117" s="24">
        <f t="shared" si="7"/>
        <v>67.889600000000002</v>
      </c>
      <c r="I117" s="26"/>
    </row>
    <row r="118" spans="2:9" outlineLevel="1" x14ac:dyDescent="0.2">
      <c r="B118" s="27">
        <v>96</v>
      </c>
      <c r="C118" s="9">
        <v>788</v>
      </c>
      <c r="D118" s="9">
        <f t="shared" si="6"/>
        <v>20739</v>
      </c>
      <c r="E118" s="24">
        <f t="shared" si="7"/>
        <v>24.886800000000001</v>
      </c>
    </row>
    <row r="119" spans="2:9" outlineLevel="1" x14ac:dyDescent="0.2">
      <c r="B119" s="27">
        <v>97</v>
      </c>
      <c r="C119" s="9">
        <v>2092</v>
      </c>
      <c r="D119" s="9">
        <f t="shared" ref="D119:D122" si="8">INT(FORECAST(C119,Website_Visits,SocialMedia_Mentions))</f>
        <v>51518</v>
      </c>
      <c r="E119" s="24">
        <f t="shared" ref="E119:E122" si="9">(D119/1000)*INDEX($C$14:$C$16,MATCH(D119,$B$14:$B$16,1))</f>
        <v>82.42880000000001</v>
      </c>
    </row>
    <row r="120" spans="2:9" outlineLevel="1" x14ac:dyDescent="0.2">
      <c r="B120" s="27">
        <v>98</v>
      </c>
      <c r="C120" s="9">
        <v>1571</v>
      </c>
      <c r="D120" s="9">
        <f t="shared" si="8"/>
        <v>39221</v>
      </c>
      <c r="E120" s="24">
        <f t="shared" si="9"/>
        <v>62.753599999999999</v>
      </c>
    </row>
    <row r="121" spans="2:9" outlineLevel="1" x14ac:dyDescent="0.2">
      <c r="B121" s="27">
        <v>99</v>
      </c>
      <c r="C121" s="9">
        <v>1953</v>
      </c>
      <c r="D121" s="9">
        <f t="shared" si="8"/>
        <v>48237</v>
      </c>
      <c r="E121" s="24">
        <f t="shared" si="9"/>
        <v>77.179200000000009</v>
      </c>
    </row>
    <row r="122" spans="2:9" ht="13.5" outlineLevel="1" thickBot="1" x14ac:dyDescent="0.25">
      <c r="B122" s="28">
        <v>100</v>
      </c>
      <c r="C122" s="10">
        <v>963</v>
      </c>
      <c r="D122" s="10">
        <f t="shared" si="8"/>
        <v>24870</v>
      </c>
      <c r="E122" s="25">
        <f t="shared" si="9"/>
        <v>29.844000000000001</v>
      </c>
    </row>
    <row r="123" spans="2:9" x14ac:dyDescent="0.2">
      <c r="B123" s="8"/>
    </row>
    <row r="124" spans="2:9" x14ac:dyDescent="0.2">
      <c r="B124" s="8" t="s">
        <v>4</v>
      </c>
    </row>
    <row r="125" spans="2:9" ht="18.75" outlineLevel="1" x14ac:dyDescent="0.3">
      <c r="B125" s="3"/>
    </row>
    <row r="126" spans="2:9" outlineLevel="1" x14ac:dyDescent="0.2">
      <c r="B126" s="19" t="s">
        <v>6</v>
      </c>
      <c r="C126" s="20">
        <v>-2500</v>
      </c>
    </row>
    <row r="127" spans="2:9" outlineLevel="1" x14ac:dyDescent="0.2">
      <c r="B127" s="19" t="s">
        <v>7</v>
      </c>
      <c r="C127" s="21">
        <v>0.05</v>
      </c>
    </row>
    <row r="128" spans="2:9" outlineLevel="1" x14ac:dyDescent="0.2">
      <c r="B128" s="19" t="s">
        <v>8</v>
      </c>
      <c r="C128" s="21">
        <f>C127/365</f>
        <v>1.3698630136986303E-4</v>
      </c>
    </row>
    <row r="129" spans="2:3" ht="13.5" outlineLevel="1" thickBot="1" x14ac:dyDescent="0.25"/>
    <row r="130" spans="2:3" ht="13.5" outlineLevel="1" thickBot="1" x14ac:dyDescent="0.25">
      <c r="B130" s="11" t="s">
        <v>10</v>
      </c>
      <c r="C130" s="12">
        <f>NPV(C128,C126,E23:E122)</f>
        <v>1627.5445404760537</v>
      </c>
    </row>
    <row r="131" spans="2:3" outlineLevel="1" x14ac:dyDescent="0.2"/>
    <row r="132" spans="2:3" outlineLevel="1" x14ac:dyDescent="0.2">
      <c r="B132" s="8" t="s">
        <v>11</v>
      </c>
    </row>
    <row r="146" spans="2:2" ht="18.75" x14ac:dyDescent="0.3">
      <c r="B146" s="3"/>
    </row>
    <row r="171" spans="2:2" ht="18.75" x14ac:dyDescent="0.3">
      <c r="B171" s="3"/>
    </row>
  </sheetData>
  <mergeCells count="4">
    <mergeCell ref="B10:C10"/>
    <mergeCell ref="B9:K9"/>
    <mergeCell ref="B18:K18"/>
    <mergeCell ref="B20:J21"/>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t_to_problem_1">
                <anchor moveWithCells="1" sizeWithCells="1">
                  <from>
                    <xdr:col>3</xdr:col>
                    <xdr:colOff>1123950</xdr:colOff>
                    <xdr:row>125</xdr:row>
                    <xdr:rowOff>152400</xdr:rowOff>
                  </from>
                  <to>
                    <xdr:col>6</xdr:col>
                    <xdr:colOff>47625</xdr:colOff>
                    <xdr:row>129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Introduction</vt:lpstr>
      <vt:lpstr>Data Set</vt:lpstr>
      <vt:lpstr>Culminating Exersise</vt:lpstr>
      <vt:lpstr>Culminating Exersise - (ANS)</vt:lpstr>
      <vt:lpstr>SocialMedia_Mentions</vt:lpstr>
      <vt:lpstr>Website_Visits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Windows User</cp:lastModifiedBy>
  <dcterms:created xsi:type="dcterms:W3CDTF">2016-06-22T22:01:00Z</dcterms:created>
  <dcterms:modified xsi:type="dcterms:W3CDTF">2018-07-06T21:10:14Z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