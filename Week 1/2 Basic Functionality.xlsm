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S\Downloads\Problem Solving with Excel\Week 1\"/>
    </mc:Choice>
  </mc:AlternateContent>
  <bookViews>
    <workbookView xWindow="0" yWindow="0" windowWidth="20490" windowHeight="7620" tabRatio="882" firstSheet="4" activeTab="6"/>
  </bookViews>
  <sheets>
    <sheet name="Introduction" sheetId="1" r:id="rId1"/>
    <sheet name="Summary" sheetId="2" r:id="rId2"/>
    <sheet name="Section 1 - Paste Special" sheetId="3" r:id="rId3"/>
    <sheet name="Section 1 - Paste Special (ANS)" sheetId="21" state="hidden" r:id="rId4"/>
    <sheet name="Section 2 - Cell Locking" sheetId="5" r:id="rId5"/>
    <sheet name="Section 2 - Cell Locking (ANS)" sheetId="22" state="hidden" r:id="rId6"/>
    <sheet name="Section 3 - Named Ranges" sheetId="12" r:id="rId7"/>
    <sheet name="Section 3 - Named Ranges (ANS)" sheetId="23" state="hidden" r:id="rId8"/>
  </sheets>
  <definedNames>
    <definedName name="Quantity_Sold">'Section 3 - Named Ranges'!$J$9:$J$116</definedName>
    <definedName name="QuantitySold">'Section 3 - Named Ranges'!$J$10:$J$116</definedName>
    <definedName name="Sales_Data">'Section 3 - Named Ranges'!$B$9:$L$116</definedName>
    <definedName name="Sales_Revenue">'Section 3 - Named Ranges'!$L$9:$L$116</definedName>
    <definedName name="SalesData">'Section 3 - Named Ranges'!$B$9:$D$107</definedName>
    <definedName name="SalesRevenue">'Section 3 - Named Ranges'!$L$10:$L$116</definedName>
    <definedName name="UnitPrice">'Section 3 - Named Ranges'!$K$10:$K$116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9" i="12" l="1"/>
  <c r="D125" i="12"/>
  <c r="H39" i="5"/>
  <c r="I39" i="5"/>
  <c r="J39" i="5"/>
  <c r="K39" i="5"/>
  <c r="L39" i="5"/>
  <c r="M39" i="5"/>
  <c r="N39" i="5"/>
  <c r="O39" i="5"/>
  <c r="H40" i="5"/>
  <c r="I40" i="5"/>
  <c r="J40" i="5"/>
  <c r="K40" i="5"/>
  <c r="L40" i="5"/>
  <c r="M40" i="5"/>
  <c r="N40" i="5"/>
  <c r="O40" i="5"/>
  <c r="H41" i="5"/>
  <c r="I41" i="5"/>
  <c r="J41" i="5"/>
  <c r="K41" i="5"/>
  <c r="L41" i="5"/>
  <c r="M41" i="5"/>
  <c r="N41" i="5"/>
  <c r="O41" i="5"/>
  <c r="H42" i="5"/>
  <c r="I42" i="5"/>
  <c r="J42" i="5"/>
  <c r="K42" i="5"/>
  <c r="L42" i="5"/>
  <c r="M42" i="5"/>
  <c r="N42" i="5"/>
  <c r="O42" i="5"/>
  <c r="H43" i="5"/>
  <c r="I43" i="5"/>
  <c r="J43" i="5"/>
  <c r="K43" i="5"/>
  <c r="L43" i="5"/>
  <c r="M43" i="5"/>
  <c r="N43" i="5"/>
  <c r="O43" i="5"/>
  <c r="H44" i="5"/>
  <c r="I44" i="5"/>
  <c r="J44" i="5"/>
  <c r="K44" i="5"/>
  <c r="L44" i="5"/>
  <c r="M44" i="5"/>
  <c r="N44" i="5"/>
  <c r="O44" i="5"/>
  <c r="G40" i="5"/>
  <c r="G41" i="5"/>
  <c r="G42" i="5"/>
  <c r="G43" i="5"/>
  <c r="G44" i="5"/>
  <c r="G39" i="5"/>
  <c r="I26" i="5"/>
  <c r="J26" i="5" s="1"/>
  <c r="K26" i="5" s="1"/>
  <c r="H26" i="5"/>
  <c r="H14" i="5"/>
  <c r="H15" i="5" s="1"/>
  <c r="H16" i="5" s="1"/>
  <c r="H17" i="5" s="1"/>
  <c r="H13" i="5"/>
  <c r="G14" i="5"/>
  <c r="G15" i="5" s="1"/>
  <c r="G16" i="5" s="1"/>
  <c r="G17" i="5" s="1"/>
  <c r="G13" i="5"/>
  <c r="G29" i="3" l="1"/>
  <c r="G28" i="3"/>
  <c r="G27" i="3"/>
  <c r="G26" i="3"/>
  <c r="A1" i="2" l="1"/>
  <c r="D13" i="23" l="1"/>
  <c r="A4" i="23"/>
  <c r="A3" i="23"/>
  <c r="A2" i="23"/>
  <c r="A1" i="23"/>
  <c r="G13" i="22" l="1"/>
  <c r="G14" i="22"/>
  <c r="G15" i="22"/>
  <c r="G16" i="22"/>
  <c r="G17" i="22" s="1"/>
  <c r="H13" i="22"/>
  <c r="H14" i="22"/>
  <c r="H15" i="22"/>
  <c r="H16" i="22" s="1"/>
  <c r="H17" i="22" s="1"/>
  <c r="L116" i="12"/>
  <c r="I116" i="12"/>
  <c r="L115" i="12"/>
  <c r="I115" i="12"/>
  <c r="L114" i="12"/>
  <c r="I114" i="12"/>
  <c r="L113" i="12"/>
  <c r="I113" i="12"/>
  <c r="L112" i="12"/>
  <c r="I112" i="12"/>
  <c r="L111" i="12"/>
  <c r="I111" i="12"/>
  <c r="L110" i="12"/>
  <c r="I110" i="12"/>
  <c r="L109" i="12"/>
  <c r="I109" i="12"/>
  <c r="L108" i="12"/>
  <c r="I108" i="12"/>
  <c r="L107" i="12"/>
  <c r="I107" i="12"/>
  <c r="L106" i="12"/>
  <c r="I106" i="12"/>
  <c r="L105" i="12"/>
  <c r="I105" i="12"/>
  <c r="L104" i="12"/>
  <c r="I104" i="12"/>
  <c r="L103" i="12"/>
  <c r="I103" i="12"/>
  <c r="L102" i="12"/>
  <c r="I102" i="12"/>
  <c r="L101" i="12"/>
  <c r="I101" i="12"/>
  <c r="L100" i="12"/>
  <c r="I100" i="12"/>
  <c r="L99" i="12"/>
  <c r="I99" i="12"/>
  <c r="L98" i="12"/>
  <c r="I98" i="12"/>
  <c r="L97" i="12"/>
  <c r="I97" i="12"/>
  <c r="L96" i="12"/>
  <c r="I96" i="12"/>
  <c r="L95" i="12"/>
  <c r="I95" i="12"/>
  <c r="L94" i="12"/>
  <c r="I94" i="12"/>
  <c r="L93" i="12"/>
  <c r="I93" i="12"/>
  <c r="L92" i="12"/>
  <c r="I92" i="12"/>
  <c r="L91" i="12"/>
  <c r="I91" i="12"/>
  <c r="L90" i="12"/>
  <c r="I90" i="12"/>
  <c r="L89" i="12"/>
  <c r="I89" i="12"/>
  <c r="L88" i="12"/>
  <c r="I88" i="12"/>
  <c r="L87" i="12"/>
  <c r="I87" i="12"/>
  <c r="L86" i="12"/>
  <c r="I86" i="12"/>
  <c r="L85" i="12"/>
  <c r="I85" i="12"/>
  <c r="L84" i="12"/>
  <c r="I84" i="12"/>
  <c r="L83" i="12"/>
  <c r="I83" i="12"/>
  <c r="L82" i="12"/>
  <c r="I82" i="12"/>
  <c r="L81" i="12"/>
  <c r="I81" i="12"/>
  <c r="L80" i="12"/>
  <c r="I80" i="12"/>
  <c r="L79" i="12"/>
  <c r="I79" i="12"/>
  <c r="L78" i="12"/>
  <c r="I78" i="12"/>
  <c r="L77" i="12"/>
  <c r="I77" i="12"/>
  <c r="L76" i="12"/>
  <c r="I76" i="12"/>
  <c r="L75" i="12"/>
  <c r="I75" i="12"/>
  <c r="L74" i="12"/>
  <c r="I74" i="12"/>
  <c r="L73" i="12"/>
  <c r="I73" i="12"/>
  <c r="L72" i="12"/>
  <c r="I72" i="12"/>
  <c r="L71" i="12"/>
  <c r="I71" i="12"/>
  <c r="L70" i="12"/>
  <c r="I70" i="12"/>
  <c r="L69" i="12"/>
  <c r="I69" i="12"/>
  <c r="L68" i="12"/>
  <c r="I68" i="12"/>
  <c r="L67" i="12"/>
  <c r="I67" i="12"/>
  <c r="L66" i="12"/>
  <c r="I66" i="12"/>
  <c r="L65" i="12"/>
  <c r="I65" i="12"/>
  <c r="L64" i="12"/>
  <c r="I64" i="12"/>
  <c r="L63" i="12"/>
  <c r="I63" i="12"/>
  <c r="L62" i="12"/>
  <c r="I62" i="12"/>
  <c r="L61" i="12"/>
  <c r="I61" i="12"/>
  <c r="L60" i="12"/>
  <c r="I60" i="12"/>
  <c r="L59" i="12"/>
  <c r="I59" i="12"/>
  <c r="L58" i="12"/>
  <c r="I58" i="12"/>
  <c r="L57" i="12"/>
  <c r="I57" i="12"/>
  <c r="L56" i="12"/>
  <c r="I56" i="12"/>
  <c r="L55" i="12"/>
  <c r="I55" i="12"/>
  <c r="L54" i="12"/>
  <c r="I54" i="12"/>
  <c r="L53" i="12"/>
  <c r="I53" i="12"/>
  <c r="L52" i="12"/>
  <c r="I52" i="12"/>
  <c r="L51" i="12"/>
  <c r="I51" i="12"/>
  <c r="L50" i="12"/>
  <c r="I50" i="12"/>
  <c r="L49" i="12"/>
  <c r="I49" i="12"/>
  <c r="L48" i="12"/>
  <c r="I48" i="12"/>
  <c r="L47" i="12"/>
  <c r="I47" i="12"/>
  <c r="L46" i="12"/>
  <c r="I46" i="12"/>
  <c r="L45" i="12"/>
  <c r="I45" i="12"/>
  <c r="L44" i="12"/>
  <c r="I44" i="12"/>
  <c r="L43" i="12"/>
  <c r="I43" i="12"/>
  <c r="L42" i="12"/>
  <c r="I42" i="12"/>
  <c r="L41" i="12"/>
  <c r="I41" i="12"/>
  <c r="L40" i="12"/>
  <c r="I40" i="12"/>
  <c r="L39" i="12"/>
  <c r="I39" i="12"/>
  <c r="L38" i="12"/>
  <c r="I38" i="12"/>
  <c r="L37" i="12"/>
  <c r="I37" i="12"/>
  <c r="L36" i="12"/>
  <c r="I36" i="12"/>
  <c r="L35" i="12"/>
  <c r="I35" i="12"/>
  <c r="L34" i="12"/>
  <c r="I34" i="12"/>
  <c r="L33" i="12"/>
  <c r="I33" i="12"/>
  <c r="L32" i="12"/>
  <c r="I32" i="12"/>
  <c r="L31" i="12"/>
  <c r="I31" i="12"/>
  <c r="L30" i="12"/>
  <c r="I30" i="12"/>
  <c r="L29" i="12"/>
  <c r="I29" i="12"/>
  <c r="L28" i="12"/>
  <c r="I28" i="12"/>
  <c r="L27" i="12"/>
  <c r="I27" i="12"/>
  <c r="L26" i="12"/>
  <c r="I26" i="12"/>
  <c r="L25" i="12"/>
  <c r="I25" i="12"/>
  <c r="L24" i="12"/>
  <c r="I24" i="12"/>
  <c r="L23" i="12"/>
  <c r="I23" i="12"/>
  <c r="L22" i="12"/>
  <c r="I22" i="12"/>
  <c r="L21" i="12"/>
  <c r="I21" i="12"/>
  <c r="L20" i="12"/>
  <c r="I20" i="12"/>
  <c r="L19" i="12"/>
  <c r="I19" i="12"/>
  <c r="L18" i="12"/>
  <c r="I18" i="12"/>
  <c r="L17" i="12"/>
  <c r="I17" i="12"/>
  <c r="L16" i="12"/>
  <c r="I16" i="12"/>
  <c r="L15" i="12"/>
  <c r="I15" i="12"/>
  <c r="L14" i="12"/>
  <c r="I14" i="12"/>
  <c r="L13" i="12"/>
  <c r="I13" i="12"/>
  <c r="L12" i="12"/>
  <c r="I12" i="12"/>
  <c r="L11" i="12"/>
  <c r="I11" i="12"/>
  <c r="L10" i="12"/>
  <c r="I10" i="12"/>
  <c r="A4" i="12"/>
  <c r="A3" i="12"/>
  <c r="O44" i="22"/>
  <c r="N44" i="22"/>
  <c r="M44" i="22"/>
  <c r="L44" i="22"/>
  <c r="K44" i="22"/>
  <c r="J44" i="22"/>
  <c r="I44" i="22"/>
  <c r="H44" i="22"/>
  <c r="G44" i="22"/>
  <c r="O43" i="22"/>
  <c r="N43" i="22"/>
  <c r="M43" i="22"/>
  <c r="L43" i="22"/>
  <c r="K43" i="22"/>
  <c r="J43" i="22"/>
  <c r="I43" i="22"/>
  <c r="H43" i="22"/>
  <c r="G43" i="22"/>
  <c r="O42" i="22"/>
  <c r="N42" i="22"/>
  <c r="M42" i="22"/>
  <c r="L42" i="22"/>
  <c r="K42" i="22"/>
  <c r="J42" i="22"/>
  <c r="I42" i="22"/>
  <c r="H42" i="22"/>
  <c r="G42" i="22"/>
  <c r="O41" i="22"/>
  <c r="N41" i="22"/>
  <c r="M41" i="22"/>
  <c r="L41" i="22"/>
  <c r="K41" i="22"/>
  <c r="J41" i="22"/>
  <c r="I41" i="22"/>
  <c r="H41" i="22"/>
  <c r="G41" i="22"/>
  <c r="O40" i="22"/>
  <c r="N40" i="22"/>
  <c r="M40" i="22"/>
  <c r="L40" i="22"/>
  <c r="K40" i="22"/>
  <c r="J40" i="22"/>
  <c r="I40" i="22"/>
  <c r="H40" i="22"/>
  <c r="G40" i="22"/>
  <c r="O39" i="22"/>
  <c r="N39" i="22"/>
  <c r="M39" i="22"/>
  <c r="L39" i="22"/>
  <c r="K39" i="22"/>
  <c r="J39" i="22"/>
  <c r="I39" i="22"/>
  <c r="H39" i="22"/>
  <c r="G39" i="22"/>
  <c r="H26" i="22"/>
  <c r="I26" i="22"/>
  <c r="J26" i="22"/>
  <c r="K26" i="22"/>
  <c r="A4" i="22"/>
  <c r="A3" i="22"/>
  <c r="A2" i="22"/>
  <c r="A1" i="22"/>
  <c r="A4" i="5"/>
  <c r="A3" i="5"/>
  <c r="A2" i="5"/>
  <c r="A1" i="5"/>
  <c r="I78" i="21"/>
  <c r="H78" i="21"/>
  <c r="G78" i="21"/>
  <c r="F78" i="21"/>
  <c r="E78" i="21"/>
  <c r="I64" i="21"/>
  <c r="H64" i="21"/>
  <c r="G64" i="21"/>
  <c r="F64" i="21"/>
  <c r="E64" i="21"/>
  <c r="I44" i="21"/>
  <c r="H44" i="21"/>
  <c r="G44" i="21"/>
  <c r="F44" i="21"/>
  <c r="E44" i="21"/>
  <c r="G29" i="21"/>
  <c r="D29" i="21"/>
  <c r="G28" i="21"/>
  <c r="D28" i="21"/>
  <c r="G27" i="21"/>
  <c r="D27" i="21"/>
  <c r="G26" i="21"/>
  <c r="D26" i="21"/>
  <c r="D21" i="21"/>
  <c r="D20" i="21"/>
  <c r="D19" i="21"/>
  <c r="D18" i="21"/>
  <c r="D13" i="21"/>
  <c r="D12" i="21"/>
  <c r="D11" i="21"/>
  <c r="D10" i="21"/>
  <c r="A4" i="21"/>
  <c r="A3" i="21"/>
  <c r="A2" i="21"/>
  <c r="A1" i="21"/>
  <c r="G78" i="3"/>
  <c r="I78" i="3"/>
  <c r="H78" i="3"/>
  <c r="F78" i="3"/>
  <c r="E78" i="3"/>
  <c r="I64" i="3"/>
  <c r="H64" i="3"/>
  <c r="G64" i="3"/>
  <c r="F64" i="3"/>
  <c r="E64" i="3"/>
  <c r="I44" i="3"/>
  <c r="H44" i="3"/>
  <c r="G44" i="3"/>
  <c r="F44" i="3"/>
  <c r="E44" i="3"/>
  <c r="D29" i="3"/>
  <c r="D28" i="3"/>
  <c r="D27" i="3"/>
  <c r="D26" i="3"/>
  <c r="D21" i="3"/>
  <c r="D20" i="3"/>
  <c r="D19" i="3"/>
  <c r="D18" i="3"/>
  <c r="D13" i="3"/>
  <c r="D12" i="3"/>
  <c r="D11" i="3"/>
  <c r="D10" i="3"/>
  <c r="A4" i="3"/>
  <c r="A3" i="3"/>
  <c r="A2" i="3"/>
  <c r="A1" i="3"/>
  <c r="A3" i="2"/>
  <c r="A2" i="2"/>
</calcChain>
</file>

<file path=xl/sharedStrings.xml><?xml version="1.0" encoding="utf-8"?>
<sst xmlns="http://schemas.openxmlformats.org/spreadsheetml/2006/main" count="705" uniqueCount="291">
  <si>
    <t>Data Analytics</t>
  </si>
  <si>
    <t xml:space="preserve">MOOC Course </t>
  </si>
  <si>
    <t>Summary</t>
  </si>
  <si>
    <t>Section</t>
  </si>
  <si>
    <t>Description</t>
  </si>
  <si>
    <t>Contained in Workbook</t>
  </si>
  <si>
    <t>Name of External Referenced File</t>
  </si>
  <si>
    <t>Product 1</t>
  </si>
  <si>
    <t>Product 2</t>
  </si>
  <si>
    <t>Product 3</t>
  </si>
  <si>
    <t>Product 4</t>
  </si>
  <si>
    <t>Product 5</t>
  </si>
  <si>
    <t>Price on 12/10</t>
  </si>
  <si>
    <t>Quantity Sold on 12/10</t>
  </si>
  <si>
    <t>Total Sales on 12/10</t>
  </si>
  <si>
    <t>January</t>
  </si>
  <si>
    <t>February</t>
  </si>
  <si>
    <t>March</t>
  </si>
  <si>
    <t>April</t>
  </si>
  <si>
    <t>May</t>
  </si>
  <si>
    <t>Revenue</t>
  </si>
  <si>
    <t>COGS</t>
  </si>
  <si>
    <t>Gross Profit</t>
  </si>
  <si>
    <t>June</t>
  </si>
  <si>
    <t>Monthly Grow Rate</t>
  </si>
  <si>
    <t>Projected COGS Annual Decrease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</si>
  <si>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</si>
  <si>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</si>
  <si>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</si>
  <si>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</si>
  <si>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</si>
  <si>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</si>
  <si>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</si>
  <si>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</si>
  <si>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</si>
  <si>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</si>
  <si>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</si>
  <si>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</si>
  <si>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</si>
  <si>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</si>
  <si>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</si>
  <si>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</si>
  <si>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</si>
  <si>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</si>
  <si>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</si>
  <si>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</si>
  <si>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</si>
  <si>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</si>
  <si>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</si>
  <si>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</si>
  <si>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</si>
  <si>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</si>
  <si>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</si>
  <si>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</si>
  <si>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</si>
  <si>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</si>
  <si>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</si>
  <si>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</si>
  <si>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</si>
  <si>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</si>
  <si>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</si>
  <si>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</si>
  <si>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</si>
  <si>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</si>
  <si>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</si>
  <si>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</si>
  <si>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</si>
  <si>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</si>
  <si>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</si>
  <si>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</si>
  <si>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</si>
  <si>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</si>
  <si>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</si>
  <si>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</si>
  <si>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</si>
  <si>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</si>
  <si>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</si>
  <si>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</si>
  <si>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</si>
  <si>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</si>
  <si>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</si>
  <si>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</si>
  <si>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</si>
  <si>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</si>
  <si>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</si>
  <si>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</si>
  <si>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</si>
  <si>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</si>
  <si>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</si>
  <si>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</si>
  <si>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</si>
  <si>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</si>
  <si>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</si>
  <si>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</si>
  <si>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</si>
  <si>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</si>
  <si>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</si>
  <si>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</si>
  <si>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</si>
  <si>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</si>
  <si>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</si>
  <si>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</si>
  <si>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</si>
  <si>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</si>
  <si>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</si>
  <si>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</si>
  <si>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</si>
  <si>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</si>
  <si>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</si>
  <si>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</si>
  <si>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</si>
  <si>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</si>
  <si>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</si>
  <si>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</si>
  <si>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</si>
  <si>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</si>
  <si>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</si>
  <si>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</si>
  <si>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</si>
  <si>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</si>
  <si>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</si>
  <si>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</si>
  <si>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</si>
  <si>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</si>
  <si>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</si>
  <si>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</si>
  <si>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</si>
  <si>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</si>
  <si>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</si>
  <si>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</si>
  <si>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</si>
  <si>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</si>
  <si>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</si>
  <si>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</si>
  <si>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</si>
  <si>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</si>
  <si>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</si>
  <si>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</si>
  <si>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</si>
  <si>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</si>
  <si>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</si>
  <si>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</si>
  <si>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</si>
  <si>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</si>
  <si>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</si>
  <si>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</si>
  <si>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</si>
  <si>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</si>
  <si>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</si>
  <si>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</si>
  <si>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</si>
  <si>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</si>
  <si>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</si>
  <si>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</si>
  <si>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</si>
  <si>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</si>
  <si>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</si>
  <si>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</si>
  <si>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</si>
  <si>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</si>
  <si>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</si>
  <si>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</si>
  <si>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</si>
  <si>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</si>
  <si>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</si>
  <si>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</si>
  <si>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</si>
  <si>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</si>
  <si>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</si>
  <si>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</si>
  <si>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</si>
  <si>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</si>
  <si>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</si>
  <si>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</si>
  <si>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</si>
  <si>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</si>
  <si>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</si>
  <si>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</si>
  <si>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</si>
  <si>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</si>
  <si>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</si>
  <si>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</si>
  <si>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</si>
  <si>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</si>
  <si>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</si>
  <si>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</si>
  <si>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</si>
  <si>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</si>
  <si>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</si>
  <si>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</si>
  <si>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</si>
  <si>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</si>
  <si>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</si>
  <si>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</si>
  <si>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</si>
  <si>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</si>
  <si>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</si>
  <si>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</si>
  <si>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</si>
  <si>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</si>
  <si>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</si>
  <si>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</si>
  <si>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</si>
  <si>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</si>
  <si>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</si>
  <si>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</si>
  <si>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</si>
  <si>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</si>
  <si>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</si>
  <si>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</si>
  <si>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</si>
  <si>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</si>
  <si>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</si>
  <si>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</si>
  <si>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</si>
  <si>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</si>
  <si>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</si>
  <si>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</si>
  <si>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</si>
  <si>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</si>
  <si>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</si>
  <si>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</si>
  <si>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</si>
  <si>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</si>
  <si>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</si>
  <si>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</si>
  <si>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</si>
  <si>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</si>
  <si>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</si>
  <si>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</si>
  <si>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</si>
  <si>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</si>
  <si>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</si>
  <si>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</si>
  <si>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</si>
  <si>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</si>
  <si>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</si>
  <si>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</si>
  <si>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</si>
  <si>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</si>
  <si>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</si>
  <si>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</si>
  <si>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</si>
  <si>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</si>
  <si>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Paste Special</t>
  </si>
  <si>
    <t>Cell Locking</t>
  </si>
  <si>
    <t>Named Ranges</t>
  </si>
  <si>
    <t>Y</t>
  </si>
  <si>
    <t>Super Soft Bulk - 2 Litres</t>
  </si>
  <si>
    <t>Super Soft - 1 Litre</t>
  </si>
  <si>
    <t>Detafast Stain Remover - 800ml</t>
  </si>
  <si>
    <t>Super Soft - 500ml</t>
  </si>
  <si>
    <t>Detafast Stain Remover - 200ml</t>
  </si>
  <si>
    <t>Detafast Stain Remover - 100ml</t>
  </si>
  <si>
    <t>Pure Soft Detergent - 250ml</t>
  </si>
  <si>
    <t>Pure Soft Detergent - 200ml</t>
  </si>
  <si>
    <t>Super Soft - 250ml</t>
  </si>
  <si>
    <t>Pure Soft Detergent - 500ml</t>
  </si>
  <si>
    <t>Pure Soft Detergent - 100ml</t>
  </si>
  <si>
    <t>Expenses</t>
  </si>
  <si>
    <t>Net Income</t>
  </si>
  <si>
    <t>The client gives you the below table of their monthly Revenue and COGS; however, you noticed the revenue and COGS signs are inverted. Using the Paste Special multiply feature, change the sign of the table below.</t>
  </si>
  <si>
    <t>Determine COGS from 2017 to 2020 if the Projected COGS Annual Decrease is 10.00%, using the cell locking function.</t>
  </si>
  <si>
    <t>Using the cell locking technique above, create a multiplication matrix</t>
  </si>
  <si>
    <t>NA</t>
  </si>
  <si>
    <t>Problem 1A - Instructor Lead</t>
  </si>
  <si>
    <t>Problem 3A - Instructor Lead</t>
  </si>
  <si>
    <t>Problem 1A- Instructor Lead</t>
  </si>
  <si>
    <t>Problem 1B- Student Lead</t>
  </si>
  <si>
    <t>Problem 2A- Instructor Lead</t>
  </si>
  <si>
    <t>Sum of Quantity Sold using named ranges</t>
  </si>
  <si>
    <t>You have the months listed in Column F, but you want to transpose the months to Row 116</t>
  </si>
  <si>
    <t>Problem 1B - Student Lead</t>
  </si>
  <si>
    <t>a.) How do you paste the values of a data set?</t>
  </si>
  <si>
    <t>b.) How do you paste the format of a data set?</t>
  </si>
  <si>
    <t>c.) How do you paste the formulas of a data set?</t>
  </si>
  <si>
    <t>a.) Your table updates on a daily basis, and currently, you want to do an analysis on the Total Sales from 12/10.  Paste Values for the Total Sales on 12/10 below.</t>
  </si>
  <si>
    <t>b.) You want to create a table similar to the one above but with different information.  Paste the format of the table below.</t>
  </si>
  <si>
    <t>c.) You are given a table similar to the one from the question above.  Your client wants you to format the table with the same colors and type as the one above.  Use the paste format option to do this.</t>
  </si>
  <si>
    <t>Problem 2A - Instructor Lead</t>
  </si>
  <si>
    <t>Determine savings from February to June if the monthly growth rate is 5%, using the cell locking function.</t>
  </si>
  <si>
    <t>Savings A</t>
  </si>
  <si>
    <t>Savings B</t>
  </si>
  <si>
    <t>Average Unit Price using named ranges</t>
  </si>
  <si>
    <t>a.) Determine the Quantity Sold using named ranges</t>
  </si>
  <si>
    <t>b.) Determine the average Unit Price using named ranges (hint, you will have to create a named range for this)</t>
  </si>
  <si>
    <t>Monthly Growth Rate</t>
  </si>
  <si>
    <t>Basic Functionality</t>
  </si>
  <si>
    <t>=average(UnitPrice) equals $7.02</t>
  </si>
  <si>
    <t>Week 1</t>
  </si>
  <si>
    <t>Problem Solving with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</si>
</sst>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_(* #,##0_);_(* \(#,##0\);_(* &quot;-&quot;_);@_)"/>
    <numFmt numFmtId="168" formatCode="0%_);\(0%\)"/>
    <numFmt numFmtId="169" formatCode="&quot;$&quot;#,##0.00"/>
    <numFmt numFmtId="170" formatCode="_(&quot;$&quot;* #,##0_);_(&quot;$&quot;* \(#,##0\);_(&quot;$&quot;* &quot;-&quot;??_);_(@_)"/>
    <numFmt numFmtId="171" formatCode="&quot;$&quot;#,##0"/>
    <numFmt numFmtId="172" formatCode="_(* #,##0_);_(* \(#,##0\);_(* &quot;-&quot;??_);_(@_)"/>
  </numFmts>
  <fonts count="37" x14ac:knownFonts="1">
    <font>
      <sz val="9"/>
      <color rgb="FF000000"/>
      <name val="Calibri"/>
      <family val="2"/>
      <scheme val="minor"/>
    </font>
    <font>
      <sz val="11"/>
      <color rgb="FF000000"/>
      <name val="Calibri"/>
      <family val="2"/>
      <scheme val="minor"/>
    </font>
    <font>
      <b/>
      <sz val="11"/>
      <color rgb="FF602320"/>
      <name val="Calibri"/>
      <family val="2"/>
      <scheme val="minor"/>
    </font>
    <font>
      <sz val="9"/>
      <color rgb="FF9C0006"/>
      <name val="Arial"/>
      <family val="2"/>
    </font>
    <font>
      <b/>
      <sz val="9"/>
      <color rgb="FFFA7D00"/>
      <name val="Arial"/>
      <family val="2"/>
    </font>
    <font>
      <b/>
      <sz val="9"/>
      <color rgb="FFFFFFFF"/>
      <name val="Calibri"/>
      <family val="2"/>
      <scheme val="minor"/>
    </font>
    <font>
      <sz val="9"/>
      <color rgb="FF000000"/>
      <name val="Calibri"/>
      <family val="2"/>
      <scheme val="minor"/>
    </font>
    <font>
      <i/>
      <sz val="9"/>
      <color rgb="FF7F7F7F"/>
      <name val="Calibri"/>
      <family val="2"/>
      <scheme val="minor"/>
    </font>
    <font>
      <sz val="9"/>
      <color rgb="FF006100"/>
      <name val="Arial"/>
      <family val="2"/>
    </font>
    <font>
      <b/>
      <sz val="9"/>
      <color rgb="FF602320"/>
      <name val="Arial"/>
      <family val="2"/>
    </font>
    <font>
      <b/>
      <sz val="9"/>
      <color rgb="FF602320"/>
      <name val="Calibri Light"/>
      <family val="2"/>
      <scheme val="major"/>
    </font>
    <font>
      <sz val="9"/>
      <color rgb="FF602320"/>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rgb="FF602320"/>
      <name val="Calibri"/>
      <family val="2"/>
      <scheme val="minor"/>
    </font>
    <font>
      <sz val="8"/>
      <color rgb="FF000000"/>
      <name val="Calibri"/>
      <family val="2"/>
      <scheme val="minor"/>
    </font>
    <font>
      <b/>
      <sz val="9"/>
      <color rgb="FF000000"/>
      <name val="Calibri"/>
      <family val="2"/>
      <scheme val="minor"/>
    </font>
    <font>
      <b/>
      <sz val="11"/>
      <color rgb="FF602320"/>
      <name val="Calibri Light"/>
      <family val="2"/>
      <scheme val="major"/>
    </font>
    <font>
      <b/>
      <sz val="9"/>
      <color rgb="FF000000"/>
      <name val="Calibri Light"/>
      <family val="2"/>
      <scheme val="major"/>
    </font>
    <font>
      <b/>
      <sz val="14"/>
      <color rgb="FF7A1818"/>
      <name val="Calibri"/>
      <family val="2"/>
      <scheme val="minor"/>
    </font>
    <font>
      <sz val="10"/>
      <color rgb="FF000000"/>
      <name val="Arial"/>
      <family val="2"/>
    </font>
    <font>
      <b/>
      <u/>
      <sz val="14"/>
      <color rgb="FF602320"/>
      <name val="Calibri"/>
      <family val="2"/>
      <scheme val="minor"/>
    </font>
    <font>
      <sz val="10"/>
      <color rgb="FF000000"/>
      <name val="Calibri"/>
      <family val="2"/>
      <scheme val="minor"/>
    </font>
    <font>
      <sz val="10"/>
      <color rgb="FF602320"/>
      <name val="Calibri"/>
      <family val="2"/>
      <scheme val="minor"/>
    </font>
    <font>
      <sz val="10"/>
      <color rgb="FFFFFFFF"/>
      <name val="Calibri"/>
      <family val="2"/>
      <scheme val="minor"/>
    </font>
    <font>
      <sz val="10"/>
      <color rgb="FF000000"/>
      <name val="Calibri"/>
      <family val="2"/>
      <scheme val="minor"/>
    </font>
    <font>
      <b/>
      <sz val="10"/>
      <color rgb="FF7A1818"/>
      <name val="Calibri"/>
      <family val="2"/>
      <scheme val="minor"/>
    </font>
    <font>
      <b/>
      <sz val="10"/>
      <color rgb="FFFFFFFF"/>
      <name val="Calibri"/>
      <family val="2"/>
      <scheme val="minor"/>
    </font>
    <font>
      <sz val="10"/>
      <color rgb="FFDB536A"/>
      <name val="Calibri"/>
      <family val="2"/>
      <scheme val="minor"/>
    </font>
    <font>
      <b/>
      <sz val="10"/>
      <color rgb="FF000000"/>
      <name val="Calibri"/>
      <family val="2"/>
      <scheme val="minor"/>
    </font>
    <font>
      <b/>
      <sz val="10"/>
      <color rgb="FFFFFFFF"/>
      <name val="Arial"/>
      <family val="2"/>
    </font>
    <font>
      <sz val="10"/>
      <color rgb="FF602320"/>
      <name val="Arial"/>
      <family val="2"/>
    </font>
    <font>
      <u/>
      <sz val="9"/>
      <color rgb="FF000000"/>
      <name val="Calibri"/>
      <family val="2"/>
      <scheme val="minor"/>
    </font>
    <font>
      <b/>
      <sz val="12"/>
      <color rgb="FF000000"/>
      <name val="Calibri"/>
      <family val="2"/>
    </font>
    <font>
      <sz val="9"/>
      <color rgb="FF000000"/>
      <name val="Calibri"/>
      <family val="2"/>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F2F2F2"/>
        <bgColor indexed="64"/>
      </patternFill>
    </fill>
    <fill>
      <patternFill patternType="solid">
        <fgColor rgb="FF968C6D"/>
        <bgColor indexed="64"/>
      </patternFill>
    </fill>
    <fill>
      <patternFill patternType="solid">
        <fgColor rgb="FF602320"/>
        <bgColor indexed="64"/>
      </patternFill>
    </fill>
    <fill>
      <patternFill patternType="solid">
        <fgColor rgb="FFFFFFFF"/>
        <bgColor indexed="64"/>
      </patternFill>
    </fill>
    <fill>
      <patternFill patternType="solid">
        <fgColor rgb="FF602320"/>
        <bgColor rgb="FF000000"/>
      </patternFill>
    </fill>
    <fill>
      <patternFill patternType="solid">
        <fgColor rgb="FFF2ABA4"/>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rgb="FF602320"/>
      </bottom>
      <diagonal/>
    </border>
    <border>
      <left/>
      <right/>
      <top/>
      <bottom style="thin">
        <color rgb="FF602320"/>
      </bottom>
      <diagonal/>
    </border>
    <border>
      <left/>
      <right/>
      <top style="medium">
        <color rgb="FF602320"/>
      </top>
      <bottom/>
      <diagonal/>
    </border>
    <border>
      <left/>
      <right/>
      <top style="thin">
        <color rgb="FF602320"/>
      </top>
      <bottom/>
      <diagonal/>
    </border>
    <border>
      <left/>
      <right/>
      <top style="thin">
        <color rgb="FF602320"/>
      </top>
      <bottom style="medium">
        <color rgb="FF602320"/>
      </bottom>
      <diagonal/>
    </border>
    <border>
      <left/>
      <right/>
      <top/>
      <bottom style="thin">
        <color auto="1"/>
      </bottom>
      <diagonal/>
    </border>
    <border>
      <left/>
      <right style="thin">
        <color auto="1"/>
      </right>
      <top/>
      <bottom/>
      <diagonal/>
    </border>
    <border>
      <left style="thin">
        <color auto="1"/>
      </left>
      <right style="thin">
        <color auto="1"/>
      </right>
      <top style="thin">
        <color auto="1"/>
      </top>
      <bottom style="thin">
        <color auto="1"/>
      </bottom>
      <diagonal/>
    </border>
    <border>
      <left/>
      <right/>
      <top style="thin">
        <color rgb="FF602320"/>
      </top>
      <bottom style="thin">
        <color rgb="FF602320"/>
      </bottom>
      <diagonal/>
    </border>
    <border>
      <left/>
      <right/>
      <top/>
      <bottom style="thin">
        <color rgb="FF602320"/>
      </bottom>
      <diagonal/>
    </border>
    <border>
      <left/>
      <right/>
      <top style="medium">
        <color rgb="FF602320"/>
      </top>
      <bottom style="hair">
        <color rgb="FF602320"/>
      </bottom>
      <diagonal/>
    </border>
    <border>
      <left/>
      <right/>
      <top style="hair">
        <color rgb="FF602320"/>
      </top>
      <bottom style="hair">
        <color rgb="FF602320"/>
      </bottom>
      <diagonal/>
    </border>
    <border>
      <left/>
      <right/>
      <top/>
      <bottom style="thin">
        <color rgb="FF602320"/>
      </bottom>
      <diagonal/>
    </border>
    <border>
      <left/>
      <right/>
      <top style="thin">
        <color rgb="FF602320"/>
      </top>
      <bottom style="thin">
        <color rgb="FF602320"/>
      </bottom>
      <diagonal/>
    </border>
    <border>
      <left/>
      <right style="thin">
        <color auto="1"/>
      </right>
      <top style="thin">
        <color rgb="FF602320"/>
      </top>
      <bottom style="thin">
        <color rgb="FF602320"/>
      </bottom>
      <diagonal/>
    </border>
    <border>
      <left/>
      <right/>
      <top style="thin">
        <color rgb="FF602320"/>
      </top>
      <bottom/>
      <diagonal/>
    </border>
    <border>
      <left/>
      <right style="thin">
        <color auto="1"/>
      </right>
      <top style="thin">
        <color rgb="FF602320"/>
      </top>
      <bottom/>
      <diagonal/>
    </border>
  </borders>
  <cellStyleXfs count="33">
    <xf numFmtId="167" fontId="0" fillId="0" borderId="0"/>
    <xf numFmtId="9" fontId="1" fillId="0" borderId="0"/>
    <xf numFmtId="49" fontId="19" fillId="0" borderId="0"/>
    <xf numFmtId="49" fontId="9" fillId="0" borderId="6">
      <alignment horizontal="right" wrapText="1"/>
    </xf>
    <xf numFmtId="49" fontId="10" fillId="0" borderId="0">
      <alignment wrapText="1"/>
    </xf>
    <xf numFmtId="49" fontId="11" fillId="0" borderId="7">
      <alignment horizontal="right" wrapText="1"/>
    </xf>
    <xf numFmtId="49" fontId="11" fillId="0" borderId="0">
      <alignment wrapText="1"/>
    </xf>
    <xf numFmtId="0" fontId="8" fillId="2" borderId="0"/>
    <xf numFmtId="0" fontId="3" fillId="3" borderId="0"/>
    <xf numFmtId="0" fontId="14" fillId="4" borderId="0"/>
    <xf numFmtId="0" fontId="12" fillId="5" borderId="1"/>
    <xf numFmtId="0" fontId="15" fillId="6" borderId="2"/>
    <xf numFmtId="0" fontId="4" fillId="6" borderId="1"/>
    <xf numFmtId="0" fontId="13" fillId="0" borderId="3"/>
    <xf numFmtId="0" fontId="5" fillId="7" borderId="4"/>
    <xf numFmtId="0" fontId="6" fillId="8" borderId="5"/>
    <xf numFmtId="0" fontId="7" fillId="0" borderId="0"/>
    <xf numFmtId="0" fontId="20" fillId="0" borderId="10"/>
    <xf numFmtId="167" fontId="16" fillId="0" borderId="0"/>
    <xf numFmtId="167" fontId="6" fillId="9" borderId="0"/>
    <xf numFmtId="0" fontId="6" fillId="0" borderId="0"/>
    <xf numFmtId="167" fontId="6" fillId="10" borderId="0"/>
    <xf numFmtId="168" fontId="6" fillId="0" borderId="0"/>
    <xf numFmtId="0" fontId="17" fillId="0" borderId="0"/>
    <xf numFmtId="0" fontId="16" fillId="0" borderId="6">
      <alignment horizontal="right" wrapText="1"/>
    </xf>
    <xf numFmtId="0" fontId="16" fillId="0" borderId="0">
      <alignment wrapText="1"/>
    </xf>
    <xf numFmtId="0" fontId="16" fillId="0" borderId="8">
      <alignment wrapText="1"/>
    </xf>
    <xf numFmtId="167" fontId="18" fillId="0" borderId="9"/>
    <xf numFmtId="0" fontId="2" fillId="0" borderId="0"/>
    <xf numFmtId="0" fontId="18" fillId="0" borderId="10"/>
    <xf numFmtId="0" fontId="22" fillId="0" borderId="0"/>
    <xf numFmtId="167" fontId="6" fillId="0" borderId="0"/>
    <xf numFmtId="166" fontId="6" fillId="0" borderId="0" applyFont="0" applyFill="0" applyBorder="0" applyAlignment="0" applyProtection="0"/>
  </cellStyleXfs>
  <cellXfs count="71">
    <xf numFmtId="167" fontId="0" fillId="0" borderId="0" xfId="0" applyNumberFormat="1"/>
    <xf numFmtId="167" fontId="21" fillId="0" borderId="0" xfId="0" applyNumberFormat="1" applyFont="1"/>
    <xf numFmtId="0" fontId="23" fillId="0" borderId="0" xfId="0" applyNumberFormat="1" applyFont="1"/>
    <xf numFmtId="167" fontId="24" fillId="0" borderId="0" xfId="0" applyNumberFormat="1" applyFont="1"/>
    <xf numFmtId="167" fontId="25" fillId="0" borderId="11" xfId="0" applyNumberFormat="1" applyFont="1" applyBorder="1"/>
    <xf numFmtId="167" fontId="25" fillId="0" borderId="12" xfId="0" applyNumberFormat="1" applyFont="1" applyBorder="1"/>
    <xf numFmtId="167" fontId="26" fillId="12" borderId="0" xfId="0" applyNumberFormat="1" applyFont="1" applyFill="1"/>
    <xf numFmtId="167" fontId="24" fillId="0" borderId="0" xfId="0" applyNumberFormat="1" applyFont="1"/>
    <xf numFmtId="9" fontId="0" fillId="0" borderId="0" xfId="0" applyNumberFormat="1"/>
    <xf numFmtId="167" fontId="0" fillId="0" borderId="0" xfId="0" applyNumberFormat="1"/>
    <xf numFmtId="0" fontId="21" fillId="0" borderId="0" xfId="0" applyNumberFormat="1" applyFont="1"/>
    <xf numFmtId="0" fontId="27" fillId="0" borderId="0" xfId="0" applyNumberFormat="1" applyFont="1"/>
    <xf numFmtId="0" fontId="28" fillId="0" borderId="0" xfId="0" applyNumberFormat="1" applyFont="1"/>
    <xf numFmtId="0" fontId="27" fillId="0" borderId="0" xfId="0" applyNumberFormat="1" applyFont="1"/>
    <xf numFmtId="0" fontId="29" fillId="13" borderId="14" xfId="0" applyNumberFormat="1" applyFont="1" applyFill="1" applyBorder="1" applyAlignment="1">
      <alignment horizontal="left" wrapText="1"/>
    </xf>
    <xf numFmtId="0" fontId="29" fillId="13" borderId="0" xfId="0" applyNumberFormat="1" applyFont="1" applyFill="1" applyAlignment="1">
      <alignment horizontal="left" wrapText="1"/>
    </xf>
    <xf numFmtId="0" fontId="29" fillId="13" borderId="0" xfId="0" applyNumberFormat="1" applyFont="1" applyFill="1" applyAlignment="1">
      <alignment wrapText="1"/>
    </xf>
    <xf numFmtId="3" fontId="29" fillId="13" borderId="0" xfId="0" applyNumberFormat="1" applyFont="1" applyFill="1" applyAlignment="1">
      <alignment wrapText="1"/>
    </xf>
    <xf numFmtId="0" fontId="29" fillId="13" borderId="0" xfId="0" applyNumberFormat="1" applyFont="1" applyFill="1" applyAlignment="1">
      <alignment wrapText="1"/>
    </xf>
    <xf numFmtId="0" fontId="25" fillId="0" borderId="14" xfId="0" applyNumberFormat="1" applyFont="1" applyBorder="1" applyAlignment="1">
      <alignment horizontal="left"/>
    </xf>
    <xf numFmtId="0" fontId="30" fillId="0" borderId="14" xfId="0" applyNumberFormat="1" applyFont="1" applyBorder="1" applyAlignment="1">
      <alignment horizontal="left"/>
    </xf>
    <xf numFmtId="14" fontId="25" fillId="0" borderId="14" xfId="0" applyNumberFormat="1" applyFont="1" applyBorder="1" applyAlignment="1">
      <alignment horizontal="left"/>
    </xf>
    <xf numFmtId="1" fontId="25" fillId="0" borderId="14" xfId="0" applyNumberFormat="1" applyFont="1" applyBorder="1" applyAlignment="1">
      <alignment horizontal="center"/>
    </xf>
    <xf numFmtId="3" fontId="25" fillId="0" borderId="14" xfId="0" applyNumberFormat="1" applyFont="1" applyBorder="1"/>
    <xf numFmtId="164" fontId="25" fillId="0" borderId="14" xfId="0" applyNumberFormat="1" applyFont="1" applyBorder="1" applyAlignment="1">
      <alignment horizontal="right"/>
    </xf>
    <xf numFmtId="170" fontId="27" fillId="0" borderId="14" xfId="0" applyNumberFormat="1" applyFont="1" applyBorder="1" applyAlignment="1">
      <alignment horizontal="right"/>
    </xf>
    <xf numFmtId="0" fontId="25" fillId="0" borderId="14" xfId="0" applyNumberFormat="1" applyFont="1" applyBorder="1" applyAlignment="1">
      <alignment horizontal="left"/>
    </xf>
    <xf numFmtId="0" fontId="30" fillId="0" borderId="14" xfId="0" applyNumberFormat="1" applyFont="1" applyBorder="1" applyAlignment="1">
      <alignment horizontal="left"/>
    </xf>
    <xf numFmtId="0" fontId="25" fillId="0" borderId="15" xfId="0" applyNumberFormat="1" applyFont="1" applyBorder="1" applyAlignment="1">
      <alignment horizontal="left"/>
    </xf>
    <xf numFmtId="0" fontId="25" fillId="0" borderId="15" xfId="0" applyNumberFormat="1" applyFont="1" applyBorder="1" applyAlignment="1">
      <alignment horizontal="left"/>
    </xf>
    <xf numFmtId="0" fontId="30" fillId="0" borderId="15" xfId="0" applyNumberFormat="1" applyFont="1" applyBorder="1" applyAlignment="1">
      <alignment horizontal="left"/>
    </xf>
    <xf numFmtId="0" fontId="25" fillId="14" borderId="14" xfId="0" applyNumberFormat="1" applyFont="1" applyFill="1" applyBorder="1" applyAlignment="1">
      <alignment horizontal="left"/>
    </xf>
    <xf numFmtId="0" fontId="30" fillId="14" borderId="14" xfId="0" applyNumberFormat="1" applyFont="1" applyFill="1" applyBorder="1" applyAlignment="1">
      <alignment horizontal="left"/>
    </xf>
    <xf numFmtId="49" fontId="16" fillId="0" borderId="6" xfId="0" applyNumberFormat="1" applyFont="1" applyBorder="1" applyAlignment="1">
      <alignment horizontal="right" wrapText="1"/>
    </xf>
    <xf numFmtId="0" fontId="27" fillId="0" borderId="0" xfId="0" applyNumberFormat="1" applyFont="1"/>
    <xf numFmtId="166" fontId="27" fillId="0" borderId="17" xfId="0" applyNumberFormat="1" applyFont="1" applyBorder="1" applyAlignment="1">
      <alignment horizontal="right"/>
    </xf>
    <xf numFmtId="167" fontId="27" fillId="0" borderId="0" xfId="0" applyNumberFormat="1" applyFont="1"/>
    <xf numFmtId="9" fontId="27" fillId="0" borderId="17" xfId="0" applyNumberFormat="1" applyFont="1" applyBorder="1" applyAlignment="1">
      <alignment horizontal="right"/>
    </xf>
    <xf numFmtId="166" fontId="27" fillId="0" borderId="17" xfId="0" applyNumberFormat="1" applyFont="1" applyBorder="1" applyAlignment="1">
      <alignment horizontal="left"/>
    </xf>
    <xf numFmtId="166" fontId="27" fillId="0" borderId="17" xfId="0" applyNumberFormat="1" applyFont="1" applyBorder="1" applyAlignment="1">
      <alignment horizontal="center"/>
    </xf>
    <xf numFmtId="49" fontId="16" fillId="11" borderId="16" xfId="0" applyNumberFormat="1" applyFont="1" applyFill="1" applyBorder="1" applyAlignment="1">
      <alignment horizontal="center" wrapText="1"/>
    </xf>
    <xf numFmtId="49" fontId="16" fillId="11" borderId="17" xfId="0" applyNumberFormat="1" applyFont="1" applyFill="1" applyBorder="1" applyAlignment="1">
      <alignment horizontal="center" wrapText="1"/>
    </xf>
    <xf numFmtId="167" fontId="32" fillId="15" borderId="18" xfId="0" applyNumberFormat="1" applyFont="1" applyFill="1" applyBorder="1" applyAlignment="1">
      <alignment horizontal="left" vertical="top"/>
    </xf>
    <xf numFmtId="169" fontId="31" fillId="0" borderId="13" xfId="0" applyNumberFormat="1" applyFont="1" applyBorder="1" applyAlignment="1">
      <alignment vertical="center"/>
    </xf>
    <xf numFmtId="167" fontId="25" fillId="0" borderId="0" xfId="0" applyNumberFormat="1" applyFont="1"/>
    <xf numFmtId="0" fontId="33" fillId="16" borderId="0" xfId="0" applyNumberFormat="1" applyFont="1" applyFill="1" applyAlignment="1">
      <alignment horizontal="right" vertical="top"/>
    </xf>
    <xf numFmtId="169" fontId="24" fillId="0" borderId="13" xfId="0" applyNumberFormat="1" applyFont="1" applyBorder="1" applyAlignment="1">
      <alignment vertical="center"/>
    </xf>
    <xf numFmtId="167" fontId="24" fillId="0" borderId="13" xfId="0" applyNumberFormat="1" applyFont="1" applyBorder="1" applyAlignment="1">
      <alignment vertical="center"/>
    </xf>
    <xf numFmtId="170" fontId="33" fillId="16" borderId="0" xfId="0" applyNumberFormat="1" applyFont="1" applyFill="1" applyAlignment="1">
      <alignment horizontal="right" vertical="top"/>
    </xf>
    <xf numFmtId="9" fontId="34" fillId="0" borderId="0" xfId="0" applyNumberFormat="1" applyFont="1"/>
    <xf numFmtId="171" fontId="24" fillId="0" borderId="13" xfId="0" applyNumberFormat="1" applyFont="1" applyBorder="1" applyAlignment="1">
      <alignment vertical="center"/>
    </xf>
    <xf numFmtId="167" fontId="24" fillId="0" borderId="0" xfId="0" applyNumberFormat="1" applyFont="1"/>
    <xf numFmtId="0" fontId="22" fillId="16" borderId="13" xfId="0" applyNumberFormat="1" applyFont="1" applyFill="1" applyBorder="1" applyAlignment="1">
      <alignment horizontal="right" vertical="top"/>
    </xf>
    <xf numFmtId="165" fontId="33" fillId="16" borderId="0" xfId="0" applyNumberFormat="1" applyFont="1" applyFill="1" applyAlignment="1">
      <alignment horizontal="right" vertical="top"/>
    </xf>
    <xf numFmtId="0" fontId="32" fillId="15" borderId="18" xfId="0" applyNumberFormat="1" applyFont="1" applyFill="1" applyBorder="1" applyAlignment="1">
      <alignment horizontal="center" vertical="top"/>
    </xf>
    <xf numFmtId="170" fontId="27" fillId="0" borderId="17" xfId="0" applyNumberFormat="1" applyFont="1" applyBorder="1" applyAlignment="1">
      <alignment horizontal="right"/>
    </xf>
    <xf numFmtId="37" fontId="33" fillId="16" borderId="0" xfId="0" applyNumberFormat="1" applyFont="1" applyFill="1" applyAlignment="1">
      <alignment horizontal="right" vertical="top"/>
    </xf>
    <xf numFmtId="0" fontId="32" fillId="15" borderId="18" xfId="0" applyNumberFormat="1" applyFont="1" applyFill="1" applyBorder="1" applyAlignment="1">
      <alignment horizontal="left" vertical="top"/>
    </xf>
    <xf numFmtId="167" fontId="24" fillId="0" borderId="13" xfId="0" applyNumberFormat="1" applyFont="1" applyBorder="1"/>
    <xf numFmtId="164" fontId="27" fillId="0" borderId="0" xfId="0" applyNumberFormat="1" applyFont="1"/>
    <xf numFmtId="165" fontId="33" fillId="16" borderId="0" xfId="0" quotePrefix="1" applyNumberFormat="1" applyFont="1" applyFill="1" applyAlignment="1">
      <alignment horizontal="right" vertical="top"/>
    </xf>
    <xf numFmtId="172" fontId="33" fillId="16" borderId="0" xfId="32" applyNumberFormat="1" applyFont="1" applyFill="1" applyAlignment="1">
      <alignment horizontal="right" vertical="top"/>
    </xf>
    <xf numFmtId="167" fontId="32" fillId="15" borderId="0" xfId="0" applyNumberFormat="1" applyFont="1" applyFill="1" applyAlignment="1">
      <alignment horizontal="left" vertical="top"/>
    </xf>
    <xf numFmtId="167" fontId="32" fillId="15" borderId="12" xfId="0" applyNumberFormat="1" applyFont="1" applyFill="1" applyBorder="1" applyAlignment="1">
      <alignment horizontal="left" vertical="top"/>
    </xf>
    <xf numFmtId="0" fontId="27" fillId="0" borderId="0" xfId="0" applyNumberFormat="1" applyFont="1" applyAlignment="1">
      <alignment horizontal="left" vertical="center" wrapText="1"/>
    </xf>
    <xf numFmtId="167" fontId="32" fillId="15" borderId="19" xfId="0" applyNumberFormat="1" applyFont="1" applyFill="1" applyBorder="1" applyAlignment="1">
      <alignment horizontal="left" vertical="top" wrapText="1"/>
    </xf>
    <xf numFmtId="167" fontId="32" fillId="15" borderId="20" xfId="0" applyNumberFormat="1" applyFont="1" applyFill="1" applyBorder="1" applyAlignment="1">
      <alignment horizontal="left" vertical="top" wrapText="1"/>
    </xf>
    <xf numFmtId="167" fontId="32" fillId="15" borderId="21" xfId="0" applyNumberFormat="1" applyFont="1" applyFill="1" applyBorder="1" applyAlignment="1">
      <alignment horizontal="left" vertical="top"/>
    </xf>
    <xf numFmtId="167" fontId="32" fillId="15" borderId="22" xfId="0" applyNumberFormat="1" applyFont="1" applyFill="1" applyBorder="1" applyAlignment="1">
      <alignment horizontal="left" vertical="top"/>
    </xf>
    <xf numFmtId="43" fontId="33" fillId="16" borderId="0" xfId="0" applyNumberFormat="1" applyFont="1" applyFill="1" applyAlignment="1">
      <alignment horizontal="right" vertical="top"/>
    </xf>
    <xf numFmtId="1" fontId="33" fillId="16" borderId="0" xfId="0" applyNumberFormat="1" applyFont="1" applyFill="1" applyAlignment="1">
      <alignment horizontal="right" vertical="top"/>
    </xf>
  </cellXfs>
  <cellStyles count="33">
    <cellStyle name="Bad" xfId="8" builtinId="27" customBuiltin="1"/>
    <cellStyle name="Calculation" xfId="12" builtinId="22" customBuiltin="1"/>
    <cellStyle name="Check Cell" xfId="14" builtinId="23" customBuiltin="1"/>
    <cellStyle name="Comma" xfId="32" builtinId="3"/>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1">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8</xdr:row>
          <xdr:rowOff>152400</xdr:rowOff>
        </xdr:from>
        <xdr:to>
          <xdr:col>11</xdr:col>
          <xdr:colOff>590550</xdr:colOff>
          <xdr:row>12</xdr:row>
          <xdr:rowOff>28575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171450</xdr:colOff>
          <xdr:row>40</xdr:row>
          <xdr:rowOff>76200</xdr:rowOff>
        </xdr:from>
        <xdr:to>
          <xdr:col>17</xdr:col>
          <xdr:colOff>304800</xdr:colOff>
          <xdr:row>43</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73</xdr:row>
          <xdr:rowOff>152400</xdr:rowOff>
        </xdr:from>
        <xdr:to>
          <xdr:col>15</xdr:col>
          <xdr:colOff>190500</xdr:colOff>
          <xdr:row>77</xdr:row>
          <xdr:rowOff>19050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89</xdr:row>
          <xdr:rowOff>133350</xdr:rowOff>
        </xdr:from>
        <xdr:to>
          <xdr:col>15</xdr:col>
          <xdr:colOff>342900</xdr:colOff>
          <xdr:row>93</xdr:row>
          <xdr:rowOff>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3A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457200</xdr:colOff>
          <xdr:row>10</xdr:row>
          <xdr:rowOff>38100</xdr:rowOff>
        </xdr:from>
        <xdr:to>
          <xdr:col>13</xdr:col>
          <xdr:colOff>76200</xdr:colOff>
          <xdr:row>13</xdr:row>
          <xdr:rowOff>76200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457200</xdr:colOff>
          <xdr:row>40</xdr:row>
          <xdr:rowOff>38100</xdr:rowOff>
        </xdr:from>
        <xdr:to>
          <xdr:col>19</xdr:col>
          <xdr:colOff>66675</xdr:colOff>
          <xdr:row>43</xdr:row>
          <xdr:rowOff>76200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70</xdr:row>
          <xdr:rowOff>38100</xdr:rowOff>
        </xdr:from>
        <xdr:to>
          <xdr:col>15</xdr:col>
          <xdr:colOff>419100</xdr:colOff>
          <xdr:row>73</xdr:row>
          <xdr:rowOff>76200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87</xdr:row>
          <xdr:rowOff>38100</xdr:rowOff>
        </xdr:from>
        <xdr:to>
          <xdr:col>15</xdr:col>
          <xdr:colOff>419100</xdr:colOff>
          <xdr:row>90</xdr:row>
          <xdr:rowOff>76200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676275</xdr:colOff>
          <xdr:row>9</xdr:row>
          <xdr:rowOff>0</xdr:rowOff>
        </xdr:from>
        <xdr:to>
          <xdr:col>16</xdr:col>
          <xdr:colOff>257175</xdr:colOff>
          <xdr:row>12</xdr:row>
          <xdr:rowOff>28575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23</xdr:row>
          <xdr:rowOff>0</xdr:rowOff>
        </xdr:from>
        <xdr:to>
          <xdr:col>16</xdr:col>
          <xdr:colOff>257175</xdr:colOff>
          <xdr:row>26</xdr:row>
          <xdr:rowOff>38100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xdr:colOff>
          <xdr:row>36</xdr:row>
          <xdr:rowOff>28575</xdr:rowOff>
        </xdr:from>
        <xdr:to>
          <xdr:col>19</xdr:col>
          <xdr:colOff>209550</xdr:colOff>
          <xdr:row>39</xdr:row>
          <xdr:rowOff>66675</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Show Answer for 2A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66675</xdr:colOff>
          <xdr:row>8</xdr:row>
          <xdr:rowOff>152400</xdr:rowOff>
        </xdr:from>
        <xdr:to>
          <xdr:col>15</xdr:col>
          <xdr:colOff>180975</xdr:colOff>
          <xdr:row>12</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xdr:colOff>
          <xdr:row>23</xdr:row>
          <xdr:rowOff>152400</xdr:rowOff>
        </xdr:from>
        <xdr:to>
          <xdr:col>15</xdr:col>
          <xdr:colOff>180975</xdr:colOff>
          <xdr:row>27</xdr:row>
          <xdr:rowOff>19050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66675</xdr:colOff>
          <xdr:row>35</xdr:row>
          <xdr:rowOff>152400</xdr:rowOff>
        </xdr:from>
        <xdr:to>
          <xdr:col>20</xdr:col>
          <xdr:colOff>190500</xdr:colOff>
          <xdr:row>39</xdr:row>
          <xdr:rowOff>38100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552450</xdr:colOff>
          <xdr:row>125</xdr:row>
          <xdr:rowOff>95250</xdr:rowOff>
        </xdr:from>
        <xdr:to>
          <xdr:col>5</xdr:col>
          <xdr:colOff>1390650</xdr:colOff>
          <xdr:row>128</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Calibri"/>
                  <a:cs typeface="Calibri"/>
                </a:rPr>
                <a:t>Show Answer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66675</xdr:colOff>
          <xdr:row>0</xdr:row>
          <xdr:rowOff>219075</xdr:rowOff>
        </xdr:from>
        <xdr:to>
          <xdr:col>12</xdr:col>
          <xdr:colOff>180975</xdr:colOff>
          <xdr:row>3</xdr:row>
          <xdr:rowOff>152400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438150</xdr:colOff>
          <xdr:row>13</xdr:row>
          <xdr:rowOff>57150</xdr:rowOff>
        </xdr:from>
        <xdr:to>
          <xdr:col>6</xdr:col>
          <xdr:colOff>561975</xdr:colOff>
          <xdr:row>15</xdr:row>
          <xdr:rowOff>38100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Calibri"/>
                  <a:cs typeface="Calibri"/>
                </a:rPr>
                <a:t>Show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workbookViewId="0"/>
  </sheetViews>
  <sheetFormatPr defaultColWidth="9.1640625" defaultRowHeight="12" x14ac:dyDescent="0.2"/>
  <cols>
    <col min="1" max="1" width="9.1640625" style="9" customWidth="1"/>
    <col min="2" max="16384" width="9.1640625" style="9"/>
  </cols>
  <sheetData>
    <row r="1" spans="1:1" ht="18.75" x14ac:dyDescent="0.3">
      <c r="A1" s="1" t="s">
        <v>290</v>
      </c>
    </row>
    <row r="2" spans="1:1" ht="18.75" x14ac:dyDescent="0.3">
      <c r="A2" s="1" t="s">
        <v>289</v>
      </c>
    </row>
    <row r="3" spans="1:1" ht="18.75" x14ac:dyDescent="0.3">
      <c r="A3" s="1" t="s">
        <v>287</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
  <sheetViews>
    <sheetView showGridLines="0" workbookViewId="0"/>
  </sheetViews>
  <sheetFormatPr defaultColWidth="9.1640625" defaultRowHeight="12.75" x14ac:dyDescent="0.2"/>
  <cols>
    <col min="1" max="1" width="9.1640625" style="11" customWidth="1"/>
    <col min="2" max="2" width="10.6640625" style="11" bestFit="1" customWidth="1"/>
    <col min="3" max="3" width="17.33203125" style="11" bestFit="1" customWidth="1"/>
    <col min="4" max="4" width="29" style="11" bestFit="1" customWidth="1"/>
    <col min="5" max="5" width="40.6640625" style="11" customWidth="1"/>
    <col min="6" max="6" width="9.1640625" style="11" customWidth="1"/>
    <col min="7" max="16384" width="9.1640625" style="11"/>
  </cols>
  <sheetData>
    <row r="1" spans="1:5" ht="18.75" x14ac:dyDescent="0.3">
      <c r="A1" s="10" t="str">
        <f>Introduction!A1</f>
        <v>Problem Solving with Excel</v>
      </c>
    </row>
    <row r="2" spans="1:5" x14ac:dyDescent="0.2">
      <c r="A2" s="12" t="str">
        <f>Introduction!A2</f>
        <v>Week 1</v>
      </c>
    </row>
    <row r="3" spans="1:5" x14ac:dyDescent="0.2">
      <c r="A3" s="12" t="str">
        <f>Introduction!A3</f>
        <v>Basic Functionality</v>
      </c>
    </row>
    <row r="4" spans="1:5" x14ac:dyDescent="0.2">
      <c r="A4" s="12" t="s">
        <v>2</v>
      </c>
    </row>
    <row r="7" spans="1:5" ht="13.5" thickBot="1" x14ac:dyDescent="0.25">
      <c r="B7" s="33" t="s">
        <v>3</v>
      </c>
      <c r="C7" s="33" t="s">
        <v>4</v>
      </c>
      <c r="D7" s="33" t="s">
        <v>5</v>
      </c>
      <c r="E7" s="33" t="s">
        <v>6</v>
      </c>
    </row>
    <row r="8" spans="1:5" x14ac:dyDescent="0.2">
      <c r="B8" s="40">
        <v>1</v>
      </c>
      <c r="C8" s="38" t="s">
        <v>244</v>
      </c>
      <c r="D8" s="39" t="s">
        <v>247</v>
      </c>
      <c r="E8" s="39" t="s">
        <v>264</v>
      </c>
    </row>
    <row r="9" spans="1:5" x14ac:dyDescent="0.2">
      <c r="B9" s="41">
        <v>2</v>
      </c>
      <c r="C9" s="38" t="s">
        <v>245</v>
      </c>
      <c r="D9" s="39" t="s">
        <v>247</v>
      </c>
      <c r="E9" s="39" t="s">
        <v>264</v>
      </c>
    </row>
    <row r="10" spans="1:5" x14ac:dyDescent="0.2">
      <c r="B10" s="41">
        <v>3</v>
      </c>
      <c r="C10" s="38" t="s">
        <v>246</v>
      </c>
      <c r="D10" s="39" t="s">
        <v>247</v>
      </c>
      <c r="E10" s="39" t="s">
        <v>264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98"/>
  <sheetViews>
    <sheetView showGridLines="0" zoomScale="80" zoomScaleNormal="80" workbookViewId="0">
      <selection activeCell="J108" sqref="J108"/>
    </sheetView>
  </sheetViews>
  <sheetFormatPr defaultColWidth="9.1640625" defaultRowHeight="12.75" outlineLevelRow="1" x14ac:dyDescent="0.2"/>
  <cols>
    <col min="1" max="2" width="9.1640625" style="11" customWidth="1"/>
    <col min="3" max="3" width="14.6640625" style="11" customWidth="1"/>
    <col min="4" max="4" width="12.1640625" style="11" customWidth="1"/>
    <col min="5" max="9" width="13" style="11" customWidth="1"/>
    <col min="10" max="13" width="12.1640625" style="11" customWidth="1"/>
    <col min="14" max="14" width="9.1640625" style="11" customWidth="1"/>
    <col min="15" max="16384" width="9.1640625" style="11"/>
  </cols>
  <sheetData>
    <row r="1" spans="1:16" ht="18.75" x14ac:dyDescent="0.3">
      <c r="A1" s="10" t="str">
        <f>Introduction!A1</f>
        <v>Problem Solving with Excel</v>
      </c>
    </row>
    <row r="2" spans="1:16" x14ac:dyDescent="0.2">
      <c r="A2" s="12" t="str">
        <f>Introduction!A2</f>
        <v>Week 1</v>
      </c>
    </row>
    <row r="3" spans="1:16" x14ac:dyDescent="0.2">
      <c r="A3" s="12" t="str">
        <f>Introduction!A3</f>
        <v>Basic Functionality</v>
      </c>
    </row>
    <row r="4" spans="1:16" x14ac:dyDescent="0.2">
      <c r="A4" s="12" t="str">
        <f ca="1">MID(CELL("Filename",I7),SEARCH("]",CELL("Filename",I7),1)+1,100)</f>
        <v>Section 1 - Paste Special</v>
      </c>
    </row>
    <row r="5" spans="1:16" x14ac:dyDescent="0.2">
      <c r="P5" s="13"/>
    </row>
    <row r="7" spans="1:16" ht="18.75" x14ac:dyDescent="0.3">
      <c r="B7" s="2" t="s">
        <v>265</v>
      </c>
    </row>
    <row r="8" spans="1:16" hidden="1" outlineLevel="1" x14ac:dyDescent="0.2">
      <c r="C8" s="11" t="s">
        <v>273</v>
      </c>
      <c r="F8" s="9"/>
      <c r="G8" s="9"/>
    </row>
    <row r="9" spans="1:16" hidden="1" outlineLevel="1" x14ac:dyDescent="0.2">
      <c r="C9" s="3"/>
      <c r="D9" s="4">
        <v>10</v>
      </c>
    </row>
    <row r="10" spans="1:16" hidden="1" outlineLevel="1" x14ac:dyDescent="0.2">
      <c r="C10" s="5">
        <v>2</v>
      </c>
      <c r="D10" s="6">
        <f>D9*C10</f>
        <v>20</v>
      </c>
      <c r="F10" s="44">
        <v>2</v>
      </c>
      <c r="G10" s="45">
        <v>20</v>
      </c>
    </row>
    <row r="11" spans="1:16" hidden="1" outlineLevel="1" x14ac:dyDescent="0.2">
      <c r="C11" s="5">
        <v>4</v>
      </c>
      <c r="D11" s="6">
        <f>D9*C11</f>
        <v>40</v>
      </c>
      <c r="F11" s="44">
        <v>4</v>
      </c>
      <c r="G11" s="45">
        <v>40</v>
      </c>
    </row>
    <row r="12" spans="1:16" hidden="1" outlineLevel="1" x14ac:dyDescent="0.2">
      <c r="C12" s="5">
        <v>6</v>
      </c>
      <c r="D12" s="6">
        <f>D9*C12</f>
        <v>60</v>
      </c>
      <c r="F12" s="44">
        <v>6</v>
      </c>
      <c r="G12" s="45">
        <v>60</v>
      </c>
    </row>
    <row r="13" spans="1:16" hidden="1" outlineLevel="1" x14ac:dyDescent="0.2">
      <c r="C13" s="5">
        <v>8</v>
      </c>
      <c r="D13" s="6">
        <f>D9*C13</f>
        <v>80</v>
      </c>
      <c r="F13" s="44">
        <v>8</v>
      </c>
      <c r="G13" s="45">
        <v>80</v>
      </c>
    </row>
    <row r="14" spans="1:16" hidden="1" outlineLevel="1" x14ac:dyDescent="0.2">
      <c r="F14" s="3"/>
      <c r="G14" s="3"/>
    </row>
    <row r="15" spans="1:16" hidden="1" outlineLevel="1" x14ac:dyDescent="0.2"/>
    <row r="16" spans="1:16" hidden="1" outlineLevel="1" x14ac:dyDescent="0.2">
      <c r="C16" s="11" t="s">
        <v>274</v>
      </c>
    </row>
    <row r="17" spans="3:7" hidden="1" outlineLevel="1" x14ac:dyDescent="0.2">
      <c r="C17" s="3"/>
      <c r="D17" s="4">
        <v>10</v>
      </c>
    </row>
    <row r="18" spans="3:7" hidden="1" outlineLevel="1" x14ac:dyDescent="0.2">
      <c r="C18" s="5">
        <v>2</v>
      </c>
      <c r="D18" s="6">
        <f>C18*D17</f>
        <v>20</v>
      </c>
      <c r="G18" s="6"/>
    </row>
    <row r="19" spans="3:7" hidden="1" outlineLevel="1" x14ac:dyDescent="0.2">
      <c r="C19" s="5">
        <v>4</v>
      </c>
      <c r="D19" s="6">
        <f>C19*D17</f>
        <v>40</v>
      </c>
      <c r="G19" s="6"/>
    </row>
    <row r="20" spans="3:7" hidden="1" outlineLevel="1" x14ac:dyDescent="0.2">
      <c r="C20" s="5">
        <v>6</v>
      </c>
      <c r="D20" s="6">
        <f>C20*D17</f>
        <v>60</v>
      </c>
      <c r="G20" s="6"/>
    </row>
    <row r="21" spans="3:7" hidden="1" outlineLevel="1" x14ac:dyDescent="0.2">
      <c r="C21" s="5">
        <v>8</v>
      </c>
      <c r="D21" s="6">
        <f>C21*D17</f>
        <v>80</v>
      </c>
      <c r="G21" s="6"/>
    </row>
    <row r="22" spans="3:7" hidden="1" outlineLevel="1" x14ac:dyDescent="0.2">
      <c r="F22" s="3"/>
      <c r="G22" s="3"/>
    </row>
    <row r="23" spans="3:7" hidden="1" outlineLevel="1" x14ac:dyDescent="0.2">
      <c r="F23" s="3"/>
    </row>
    <row r="24" spans="3:7" hidden="1" outlineLevel="1" x14ac:dyDescent="0.2">
      <c r="C24" s="11" t="s">
        <v>275</v>
      </c>
    </row>
    <row r="25" spans="3:7" hidden="1" outlineLevel="1" x14ac:dyDescent="0.2">
      <c r="C25" s="3"/>
      <c r="D25" s="4">
        <v>10</v>
      </c>
      <c r="G25" s="11">
        <v>10</v>
      </c>
    </row>
    <row r="26" spans="3:7" hidden="1" outlineLevel="1" x14ac:dyDescent="0.2">
      <c r="C26" s="5">
        <v>2</v>
      </c>
      <c r="D26" s="6">
        <f>D25*C26</f>
        <v>20</v>
      </c>
      <c r="F26" s="5">
        <v>20</v>
      </c>
      <c r="G26" s="45">
        <f>G25*F26</f>
        <v>200</v>
      </c>
    </row>
    <row r="27" spans="3:7" hidden="1" outlineLevel="1" x14ac:dyDescent="0.2">
      <c r="C27" s="5">
        <v>4</v>
      </c>
      <c r="D27" s="6">
        <f>D25*C27</f>
        <v>40</v>
      </c>
      <c r="F27" s="5">
        <v>40</v>
      </c>
      <c r="G27" s="45">
        <f>G25*F27</f>
        <v>400</v>
      </c>
    </row>
    <row r="28" spans="3:7" hidden="1" outlineLevel="1" x14ac:dyDescent="0.2">
      <c r="C28" s="5">
        <v>6</v>
      </c>
      <c r="D28" s="6">
        <f>D25*C28</f>
        <v>60</v>
      </c>
      <c r="F28" s="5">
        <v>60</v>
      </c>
      <c r="G28" s="45">
        <f>G25*F28</f>
        <v>600</v>
      </c>
    </row>
    <row r="29" spans="3:7" hidden="1" outlineLevel="1" x14ac:dyDescent="0.2">
      <c r="C29" s="5">
        <v>8</v>
      </c>
      <c r="D29" s="6">
        <f>D25*C29</f>
        <v>80</v>
      </c>
      <c r="F29" s="5">
        <v>80</v>
      </c>
      <c r="G29" s="45">
        <f>G25*F29</f>
        <v>800</v>
      </c>
    </row>
    <row r="30" spans="3:7" hidden="1" outlineLevel="1" x14ac:dyDescent="0.2"/>
    <row r="31" spans="3:7" hidden="1" outlineLevel="1" x14ac:dyDescent="0.2"/>
    <row r="32" spans="3:7" hidden="1" outlineLevel="1" x14ac:dyDescent="0.2"/>
    <row r="33" spans="2:9" hidden="1" outlineLevel="1" x14ac:dyDescent="0.2"/>
    <row r="34" spans="2:9" hidden="1" outlineLevel="1" x14ac:dyDescent="0.2"/>
    <row r="35" spans="2:9" hidden="1" outlineLevel="1" x14ac:dyDescent="0.2"/>
    <row r="36" spans="2:9" hidden="1" outlineLevel="1" x14ac:dyDescent="0.2"/>
    <row r="37" spans="2:9" hidden="1" outlineLevel="1" x14ac:dyDescent="0.2"/>
    <row r="38" spans="2:9" hidden="1" outlineLevel="1" x14ac:dyDescent="0.2"/>
    <row r="39" spans="2:9" ht="18.75" collapsed="1" x14ac:dyDescent="0.3">
      <c r="B39" s="2" t="s">
        <v>272</v>
      </c>
    </row>
    <row r="40" spans="2:9" hidden="1" outlineLevel="1" x14ac:dyDescent="0.2"/>
    <row r="41" spans="2:9" hidden="1" outlineLevel="1" x14ac:dyDescent="0.2">
      <c r="C41" s="42"/>
      <c r="D41" s="42"/>
      <c r="E41" s="42" t="s">
        <v>7</v>
      </c>
      <c r="F41" s="42" t="s">
        <v>8</v>
      </c>
      <c r="G41" s="42" t="s">
        <v>9</v>
      </c>
      <c r="H41" s="42" t="s">
        <v>10</v>
      </c>
      <c r="I41" s="42" t="s">
        <v>11</v>
      </c>
    </row>
    <row r="42" spans="2:9" ht="12.75" hidden="1" customHeight="1" outlineLevel="1" x14ac:dyDescent="0.2">
      <c r="C42" s="65" t="s">
        <v>12</v>
      </c>
      <c r="D42" s="66"/>
      <c r="E42" s="46">
        <v>49.95</v>
      </c>
      <c r="F42" s="46">
        <v>9.99</v>
      </c>
      <c r="G42" s="46">
        <v>15.5</v>
      </c>
      <c r="H42" s="46">
        <v>60.99</v>
      </c>
      <c r="I42" s="46">
        <v>32.25</v>
      </c>
    </row>
    <row r="43" spans="2:9" hidden="1" outlineLevel="1" x14ac:dyDescent="0.2">
      <c r="C43" s="65" t="s">
        <v>13</v>
      </c>
      <c r="D43" s="66"/>
      <c r="E43" s="47">
        <v>10</v>
      </c>
      <c r="F43" s="47">
        <v>42</v>
      </c>
      <c r="G43" s="47">
        <v>32</v>
      </c>
      <c r="H43" s="47">
        <v>6</v>
      </c>
      <c r="I43" s="47">
        <v>50</v>
      </c>
    </row>
    <row r="44" spans="2:9" hidden="1" outlineLevel="1" x14ac:dyDescent="0.2">
      <c r="C44" s="65" t="s">
        <v>14</v>
      </c>
      <c r="D44" s="66"/>
      <c r="E44" s="43">
        <f>E42*E43</f>
        <v>499.5</v>
      </c>
      <c r="F44" s="43">
        <f>F42*F43</f>
        <v>419.58</v>
      </c>
      <c r="G44" s="43">
        <f>G42*G43</f>
        <v>496</v>
      </c>
      <c r="H44" s="43">
        <f>H42*H43</f>
        <v>365.94</v>
      </c>
      <c r="I44" s="43">
        <f>I42*I43</f>
        <v>1612.5</v>
      </c>
    </row>
    <row r="45" spans="2:9" hidden="1" outlineLevel="1" x14ac:dyDescent="0.2"/>
    <row r="46" spans="2:9" hidden="1" outlineLevel="1" x14ac:dyDescent="0.2">
      <c r="C46" s="36" t="s">
        <v>276</v>
      </c>
      <c r="F46" s="9"/>
    </row>
    <row r="47" spans="2:9" hidden="1" outlineLevel="1" x14ac:dyDescent="0.2">
      <c r="C47" s="9"/>
    </row>
    <row r="48" spans="2:9" hidden="1" outlineLevel="1" x14ac:dyDescent="0.2">
      <c r="C48" s="42" t="s">
        <v>14</v>
      </c>
      <c r="D48" s="42"/>
      <c r="E48" s="53">
        <v>499.5</v>
      </c>
      <c r="F48" s="53">
        <v>419.58</v>
      </c>
      <c r="G48" s="53">
        <v>496</v>
      </c>
      <c r="H48" s="53">
        <v>365.94</v>
      </c>
      <c r="I48" s="53">
        <v>1612.5</v>
      </c>
    </row>
    <row r="49" spans="3:11" hidden="1" outlineLevel="1" x14ac:dyDescent="0.2">
      <c r="C49" s="9"/>
    </row>
    <row r="50" spans="3:11" hidden="1" outlineLevel="1" x14ac:dyDescent="0.2">
      <c r="C50" s="9"/>
    </row>
    <row r="51" spans="3:11" hidden="1" outlineLevel="1" x14ac:dyDescent="0.2">
      <c r="C51" s="36" t="s">
        <v>277</v>
      </c>
    </row>
    <row r="52" spans="3:11" hidden="1" outlineLevel="1" x14ac:dyDescent="0.2">
      <c r="C52" s="36"/>
    </row>
    <row r="53" spans="3:11" ht="12.75" hidden="1" customHeight="1" outlineLevel="1" x14ac:dyDescent="0.2">
      <c r="C53" s="9"/>
    </row>
    <row r="54" spans="3:11" hidden="1" outlineLevel="1" x14ac:dyDescent="0.2">
      <c r="C54" s="42"/>
      <c r="D54" s="42"/>
      <c r="E54" s="53"/>
      <c r="F54" s="53"/>
      <c r="G54" s="53"/>
      <c r="H54" s="53"/>
      <c r="I54" s="53"/>
    </row>
    <row r="55" spans="3:11" hidden="1" outlineLevel="1" x14ac:dyDescent="0.2">
      <c r="C55" s="9"/>
    </row>
    <row r="56" spans="3:11" hidden="1" outlineLevel="1" x14ac:dyDescent="0.2">
      <c r="C56" s="9"/>
    </row>
    <row r="57" spans="3:11" hidden="1" outlineLevel="1" x14ac:dyDescent="0.2">
      <c r="C57" s="9"/>
      <c r="F57" s="9"/>
      <c r="G57" s="9"/>
      <c r="H57" s="9"/>
      <c r="I57" s="9"/>
      <c r="J57" s="9"/>
      <c r="K57" s="9"/>
    </row>
    <row r="58" spans="3:11" hidden="1" outlineLevel="1" x14ac:dyDescent="0.2">
      <c r="C58" s="9"/>
    </row>
    <row r="59" spans="3:11" hidden="1" outlineLevel="1" x14ac:dyDescent="0.2">
      <c r="C59" s="36" t="s">
        <v>278</v>
      </c>
    </row>
    <row r="60" spans="3:11" hidden="1" outlineLevel="1" x14ac:dyDescent="0.2"/>
    <row r="61" spans="3:11" hidden="1" outlineLevel="1" x14ac:dyDescent="0.2">
      <c r="C61" s="42"/>
      <c r="D61" s="42"/>
      <c r="E61" s="42" t="s">
        <v>7</v>
      </c>
      <c r="F61" s="42" t="s">
        <v>8</v>
      </c>
      <c r="G61" s="42" t="s">
        <v>9</v>
      </c>
      <c r="H61" s="42" t="s">
        <v>10</v>
      </c>
      <c r="I61" s="42" t="s">
        <v>11</v>
      </c>
    </row>
    <row r="62" spans="3:11" hidden="1" outlineLevel="1" x14ac:dyDescent="0.2">
      <c r="C62" s="65" t="s">
        <v>20</v>
      </c>
      <c r="D62" s="66"/>
      <c r="E62" s="46">
        <v>187.25</v>
      </c>
      <c r="F62" s="46">
        <v>226.39</v>
      </c>
      <c r="G62" s="46">
        <v>224.89</v>
      </c>
      <c r="H62" s="46">
        <v>250.93</v>
      </c>
      <c r="I62" s="46">
        <v>252.65</v>
      </c>
    </row>
    <row r="63" spans="3:11" hidden="1" outlineLevel="1" x14ac:dyDescent="0.2">
      <c r="C63" s="65" t="s">
        <v>259</v>
      </c>
      <c r="D63" s="66"/>
      <c r="E63" s="47">
        <v>159.16249999999999</v>
      </c>
      <c r="F63" s="47">
        <v>187.90369999999999</v>
      </c>
      <c r="G63" s="47">
        <v>193.40539999999999</v>
      </c>
      <c r="H63" s="47">
        <v>220.8184</v>
      </c>
      <c r="I63" s="47">
        <v>212.226</v>
      </c>
    </row>
    <row r="64" spans="3:11" hidden="1" outlineLevel="1" x14ac:dyDescent="0.2">
      <c r="C64" s="65" t="s">
        <v>260</v>
      </c>
      <c r="D64" s="66"/>
      <c r="E64" s="43">
        <f>E62-E63</f>
        <v>28.087500000000006</v>
      </c>
      <c r="F64" s="43">
        <f>F62-F63</f>
        <v>38.4863</v>
      </c>
      <c r="G64" s="43">
        <f>G62-G63</f>
        <v>31.4846</v>
      </c>
      <c r="H64" s="43">
        <f>H62-H63</f>
        <v>30.11160000000001</v>
      </c>
      <c r="I64" s="43">
        <f>I62-I63</f>
        <v>40.424000000000007</v>
      </c>
      <c r="J64" s="8"/>
      <c r="K64" s="8"/>
    </row>
    <row r="65" spans="2:11" hidden="1" outlineLevel="1" x14ac:dyDescent="0.2">
      <c r="C65" s="9"/>
      <c r="D65" s="49"/>
      <c r="E65" s="49"/>
      <c r="F65" s="49"/>
      <c r="G65" s="49"/>
      <c r="H65" s="49"/>
      <c r="I65" s="8"/>
      <c r="J65" s="8"/>
      <c r="K65" s="8"/>
    </row>
    <row r="66" spans="2:11" hidden="1" outlineLevel="1" x14ac:dyDescent="0.2">
      <c r="C66" s="9"/>
      <c r="D66" s="49"/>
      <c r="E66" s="49"/>
      <c r="F66" s="49"/>
      <c r="G66" s="49"/>
      <c r="H66" s="49"/>
      <c r="I66" s="8"/>
      <c r="J66" s="8"/>
      <c r="K66" s="8"/>
    </row>
    <row r="67" spans="2:11" hidden="1" outlineLevel="1" x14ac:dyDescent="0.2">
      <c r="C67" s="9"/>
      <c r="D67" s="49"/>
      <c r="E67" s="49"/>
      <c r="F67" s="49"/>
      <c r="G67" s="49"/>
      <c r="H67" s="49"/>
      <c r="I67" s="8"/>
      <c r="J67" s="8"/>
      <c r="K67" s="8"/>
    </row>
    <row r="68" spans="2:11" hidden="1" outlineLevel="1" x14ac:dyDescent="0.2">
      <c r="F68" s="9"/>
      <c r="G68" s="8"/>
      <c r="H68" s="8"/>
      <c r="I68" s="8"/>
      <c r="J68" s="8"/>
      <c r="K68" s="8"/>
    </row>
    <row r="69" spans="2:11" ht="18.75" collapsed="1" x14ac:dyDescent="0.3">
      <c r="B69" s="2" t="s">
        <v>279</v>
      </c>
      <c r="F69" s="9"/>
      <c r="G69" s="9"/>
      <c r="H69" s="9"/>
      <c r="I69" s="9"/>
      <c r="J69" s="9"/>
      <c r="K69" s="9"/>
    </row>
    <row r="70" spans="2:11" hidden="1" outlineLevel="1" x14ac:dyDescent="0.2">
      <c r="F70" s="9"/>
      <c r="G70" s="9"/>
      <c r="H70" s="9"/>
      <c r="I70" s="9"/>
      <c r="J70" s="9"/>
      <c r="K70" s="9"/>
    </row>
    <row r="71" spans="2:11" ht="12.75" hidden="1" customHeight="1" outlineLevel="1" x14ac:dyDescent="0.2">
      <c r="C71" s="64" t="s">
        <v>261</v>
      </c>
      <c r="D71" s="64"/>
      <c r="E71" s="64"/>
      <c r="F71" s="64"/>
      <c r="G71" s="64"/>
      <c r="H71" s="64"/>
      <c r="I71" s="64"/>
      <c r="J71" s="64"/>
      <c r="K71" s="9"/>
    </row>
    <row r="72" spans="2:11" hidden="1" outlineLevel="1" x14ac:dyDescent="0.2">
      <c r="C72" s="64"/>
      <c r="D72" s="64"/>
      <c r="E72" s="64"/>
      <c r="F72" s="64"/>
      <c r="G72" s="64"/>
      <c r="H72" s="64"/>
      <c r="I72" s="64"/>
      <c r="J72" s="64"/>
    </row>
    <row r="73" spans="2:11" hidden="1" outlineLevel="1" x14ac:dyDescent="0.2">
      <c r="C73" s="64"/>
      <c r="D73" s="64"/>
      <c r="E73" s="64"/>
      <c r="F73" s="64"/>
      <c r="G73" s="64"/>
      <c r="H73" s="64"/>
      <c r="I73" s="64"/>
      <c r="J73" s="64"/>
    </row>
    <row r="74" spans="2:11" hidden="1" outlineLevel="1" x14ac:dyDescent="0.2"/>
    <row r="75" spans="2:11" hidden="1" outlineLevel="1" x14ac:dyDescent="0.2">
      <c r="C75" s="42"/>
      <c r="D75" s="42"/>
      <c r="E75" s="42" t="s">
        <v>15</v>
      </c>
      <c r="F75" s="42" t="s">
        <v>16</v>
      </c>
      <c r="G75" s="42" t="s">
        <v>17</v>
      </c>
      <c r="H75" s="42" t="s">
        <v>18</v>
      </c>
      <c r="I75" s="42" t="s">
        <v>19</v>
      </c>
    </row>
    <row r="76" spans="2:11" hidden="1" outlineLevel="1" x14ac:dyDescent="0.2">
      <c r="C76" s="67" t="s">
        <v>20</v>
      </c>
      <c r="D76" s="68"/>
      <c r="E76" s="51">
        <v>184790</v>
      </c>
      <c r="F76" s="51">
        <v>103998</v>
      </c>
      <c r="G76" s="51">
        <v>96732</v>
      </c>
      <c r="H76" s="51">
        <v>234550</v>
      </c>
      <c r="I76" s="51">
        <v>78376</v>
      </c>
    </row>
    <row r="77" spans="2:11" hidden="1" outlineLevel="1" x14ac:dyDescent="0.2">
      <c r="C77" s="62" t="s">
        <v>21</v>
      </c>
      <c r="D77" s="63"/>
      <c r="E77" s="51">
        <v>-123809.3</v>
      </c>
      <c r="F77" s="51">
        <v>-69678.66</v>
      </c>
      <c r="G77" s="51">
        <v>-64810.44</v>
      </c>
      <c r="H77" s="51">
        <v>-157148.5</v>
      </c>
      <c r="I77" s="51">
        <v>-52511.920000000006</v>
      </c>
    </row>
    <row r="78" spans="2:11" hidden="1" outlineLevel="1" x14ac:dyDescent="0.2">
      <c r="C78" s="62" t="s">
        <v>22</v>
      </c>
      <c r="D78" s="63"/>
      <c r="E78" s="50">
        <f>E76+E77</f>
        <v>60980.7</v>
      </c>
      <c r="F78" s="50">
        <f>F76+F77</f>
        <v>34319.339999999997</v>
      </c>
      <c r="G78" s="50">
        <f>G76+G77</f>
        <v>31921.559999999998</v>
      </c>
      <c r="H78" s="50">
        <f>H76+H77</f>
        <v>77401.5</v>
      </c>
      <c r="I78" s="50">
        <f>I76+I77</f>
        <v>25864.079999999994</v>
      </c>
    </row>
    <row r="79" spans="2:11" hidden="1" outlineLevel="1" x14ac:dyDescent="0.2">
      <c r="D79" s="9"/>
      <c r="E79" s="9"/>
      <c r="F79" s="9"/>
      <c r="G79" s="9"/>
      <c r="H79" s="9"/>
      <c r="I79" s="9"/>
    </row>
    <row r="80" spans="2:11" hidden="1" outlineLevel="1" x14ac:dyDescent="0.2">
      <c r="D80" s="9"/>
      <c r="E80" s="9"/>
      <c r="F80" s="9"/>
      <c r="G80" s="9"/>
      <c r="H80" s="9"/>
      <c r="I80" s="51">
        <v>-1</v>
      </c>
    </row>
    <row r="81" spans="2:11" hidden="1" outlineLevel="1" x14ac:dyDescent="0.2">
      <c r="F81" s="9"/>
      <c r="G81" s="9"/>
      <c r="H81" s="9"/>
      <c r="I81" s="9"/>
      <c r="J81" s="9"/>
      <c r="K81" s="9"/>
    </row>
    <row r="82" spans="2:11" hidden="1" outlineLevel="1" x14ac:dyDescent="0.2"/>
    <row r="83" spans="2:11" hidden="1" outlineLevel="1" x14ac:dyDescent="0.2"/>
    <row r="84" spans="2:11" hidden="1" outlineLevel="1" x14ac:dyDescent="0.2"/>
    <row r="85" spans="2:11" hidden="1" outlineLevel="1" x14ac:dyDescent="0.2">
      <c r="F85" s="9"/>
      <c r="G85" s="9"/>
      <c r="H85" s="9"/>
      <c r="I85" s="9"/>
      <c r="J85" s="9"/>
      <c r="K85" s="9"/>
    </row>
    <row r="86" spans="2:11" ht="18.75" collapsed="1" x14ac:dyDescent="0.3">
      <c r="B86" s="2" t="s">
        <v>266</v>
      </c>
      <c r="F86" s="9"/>
      <c r="G86" s="9"/>
      <c r="H86" s="9"/>
      <c r="I86" s="9"/>
      <c r="J86" s="9"/>
    </row>
    <row r="87" spans="2:11" outlineLevel="1" x14ac:dyDescent="0.2">
      <c r="F87" s="9"/>
      <c r="G87" s="9"/>
      <c r="H87" s="9"/>
      <c r="I87" s="9"/>
      <c r="J87" s="9"/>
      <c r="K87" s="9"/>
    </row>
    <row r="88" spans="2:11" outlineLevel="1" x14ac:dyDescent="0.2">
      <c r="C88" s="11" t="s">
        <v>271</v>
      </c>
    </row>
    <row r="89" spans="2:11" outlineLevel="1" x14ac:dyDescent="0.2"/>
    <row r="90" spans="2:11" outlineLevel="1" x14ac:dyDescent="0.2">
      <c r="C90" s="11" t="s">
        <v>15</v>
      </c>
      <c r="D90" s="9"/>
      <c r="E90" s="9"/>
      <c r="F90" s="9"/>
      <c r="G90" s="9"/>
      <c r="H90" s="9"/>
    </row>
    <row r="91" spans="2:11" outlineLevel="1" x14ac:dyDescent="0.2">
      <c r="C91" s="11" t="s">
        <v>16</v>
      </c>
      <c r="D91" s="9"/>
      <c r="E91" s="9"/>
      <c r="F91" s="9"/>
      <c r="G91" s="9"/>
      <c r="H91" s="9"/>
    </row>
    <row r="92" spans="2:11" outlineLevel="1" x14ac:dyDescent="0.2">
      <c r="C92" s="11" t="s">
        <v>17</v>
      </c>
      <c r="D92" s="9"/>
      <c r="E92" s="9"/>
      <c r="F92" s="9"/>
      <c r="G92" s="9"/>
      <c r="H92" s="9"/>
    </row>
    <row r="93" spans="2:11" outlineLevel="1" x14ac:dyDescent="0.2">
      <c r="C93" s="11" t="s">
        <v>18</v>
      </c>
      <c r="D93" s="9"/>
      <c r="E93" s="9"/>
      <c r="F93" s="9"/>
      <c r="G93" s="9"/>
      <c r="H93" s="9"/>
    </row>
    <row r="94" spans="2:11" outlineLevel="1" x14ac:dyDescent="0.2">
      <c r="C94" s="11" t="s">
        <v>19</v>
      </c>
      <c r="D94" s="9"/>
      <c r="E94" s="9"/>
      <c r="F94" s="9"/>
      <c r="G94" s="9"/>
      <c r="H94" s="9"/>
    </row>
    <row r="95" spans="2:11" outlineLevel="1" x14ac:dyDescent="0.2">
      <c r="C95" s="9"/>
      <c r="D95" s="52" t="s">
        <v>15</v>
      </c>
      <c r="E95" s="52" t="s">
        <v>16</v>
      </c>
      <c r="F95" s="52" t="s">
        <v>17</v>
      </c>
      <c r="G95" s="52" t="s">
        <v>18</v>
      </c>
      <c r="H95" s="52" t="s">
        <v>19</v>
      </c>
    </row>
    <row r="96" spans="2:11" outlineLevel="1" x14ac:dyDescent="0.2">
      <c r="C96" s="9"/>
      <c r="D96" s="50">
        <v>184790</v>
      </c>
      <c r="E96" s="50">
        <v>103998</v>
      </c>
      <c r="F96" s="50">
        <v>96732</v>
      </c>
      <c r="G96" s="50">
        <v>234550</v>
      </c>
      <c r="H96" s="50">
        <v>78376</v>
      </c>
    </row>
    <row r="98" spans="2:2" ht="18.75" x14ac:dyDescent="0.3">
      <c r="B98" s="2"/>
    </row>
  </sheetData>
  <mergeCells count="10">
    <mergeCell ref="C78:D78"/>
    <mergeCell ref="C71:J73"/>
    <mergeCell ref="C42:D42"/>
    <mergeCell ref="C43:D43"/>
    <mergeCell ref="C44:D44"/>
    <mergeCell ref="C76:D76"/>
    <mergeCell ref="C77:D77"/>
    <mergeCell ref="C62:D62"/>
    <mergeCell ref="C63:D63"/>
    <mergeCell ref="C64:D64"/>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PasteSpecial1A">
                <anchor moveWithCells="1" sizeWithCells="1">
                  <from>
                    <xdr:col>9</xdr:col>
                    <xdr:colOff>266700</xdr:colOff>
                    <xdr:row>8</xdr:row>
                    <xdr:rowOff>152400</xdr:rowOff>
                  </from>
                  <to>
                    <xdr:col>11</xdr:col>
                    <xdr:colOff>590550</xdr:colOff>
                    <xdr:row>12</xdr:row>
                    <xdr:rowOff>28575</xdr:rowOff>
                  </to>
                </anchor>
              </controlPr>
            </control>
          </mc:Choice>
        </mc:AlternateContent>
        <mc:AlternateContent xmlns:mc="http://schemas.openxmlformats.org/markup-compatibility/2006">
          <mc:Choice Requires="x14">
            <control shapeId="3074" r:id="rId5" name="Button 2">
              <controlPr defaultSize="0" print="0" autoFill="0" autoPict="0" macro="[0]!ThisWorkbook.PasteSpecial1B">
                <anchor moveWithCells="1" sizeWithCells="1">
                  <from>
                    <xdr:col>14</xdr:col>
                    <xdr:colOff>171450</xdr:colOff>
                    <xdr:row>40</xdr:row>
                    <xdr:rowOff>76200</xdr:rowOff>
                  </from>
                  <to>
                    <xdr:col>17</xdr:col>
                    <xdr:colOff>304800</xdr:colOff>
                    <xdr:row>43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ThisWorkbook.PasteSpecial2A">
                <anchor moveWithCells="1" sizeWithCells="1">
                  <from>
                    <xdr:col>12</xdr:col>
                    <xdr:colOff>228600</xdr:colOff>
                    <xdr:row>73</xdr:row>
                    <xdr:rowOff>152400</xdr:rowOff>
                  </from>
                  <to>
                    <xdr:col>15</xdr:col>
                    <xdr:colOff>190500</xdr:colOff>
                    <xdr:row>77</xdr:row>
                    <xdr:rowOff>19050</xdr:rowOff>
                  </to>
                </anchor>
              </controlPr>
            </control>
          </mc:Choice>
        </mc:AlternateContent>
        <mc:AlternateContent xmlns:mc="http://schemas.openxmlformats.org/markup-compatibility/2006">
          <mc:Choice Requires="x14">
            <control shapeId="3076" r:id="rId7" name="Button 4">
              <controlPr defaultSize="0" print="0" autoFill="0" autoPict="0" macro="[0]!ThisWorkbook.PasteSpecial3A">
                <anchor moveWithCells="1" sizeWithCells="1">
                  <from>
                    <xdr:col>12</xdr:col>
                    <xdr:colOff>381000</xdr:colOff>
                    <xdr:row>89</xdr:row>
                    <xdr:rowOff>133350</xdr:rowOff>
                  </from>
                  <to>
                    <xdr:col>15</xdr:col>
                    <xdr:colOff>342900</xdr:colOff>
                    <xdr:row>93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sheetPr>
  <dimension ref="A1:P98"/>
  <sheetViews>
    <sheetView showGridLines="0" topLeftCell="B63" workbookViewId="0">
      <selection activeCell="G76" sqref="G76"/>
    </sheetView>
  </sheetViews>
  <sheetFormatPr defaultColWidth="9.1640625" defaultRowHeight="12.75" outlineLevelRow="1" x14ac:dyDescent="0.2"/>
  <cols>
    <col min="1" max="2" width="9.1640625" style="11" customWidth="1"/>
    <col min="3" max="3" width="14.6640625" style="11" customWidth="1"/>
    <col min="4" max="4" width="12.1640625" style="11" customWidth="1"/>
    <col min="5" max="9" width="12.6640625" style="11" customWidth="1"/>
    <col min="10" max="13" width="12.1640625" style="11" customWidth="1"/>
    <col min="14" max="14" width="9.1640625" style="11" customWidth="1"/>
    <col min="15" max="16384" width="9.1640625" style="11"/>
  </cols>
  <sheetData>
    <row r="1" spans="1:16" ht="18.75" x14ac:dyDescent="0.3">
      <c r="A1" s="10" t="str">
        <f>Introduction!A1</f>
        <v>Problem Solving with Excel</v>
      </c>
    </row>
    <row r="2" spans="1:16" x14ac:dyDescent="0.2">
      <c r="A2" s="12" t="str">
        <f>Introduction!A2</f>
        <v>Week 1</v>
      </c>
    </row>
    <row r="3" spans="1:16" x14ac:dyDescent="0.2">
      <c r="A3" s="12" t="str">
        <f>Introduction!A3</f>
        <v>Basic Functionality</v>
      </c>
    </row>
    <row r="4" spans="1:16" x14ac:dyDescent="0.2">
      <c r="A4" s="12" t="str">
        <f ca="1">MID(CELL("Filename",I7),SEARCH("]",CELL("Filename",I7),1)+1,100)</f>
        <v>Section 1 - Paste Special (ANS)</v>
      </c>
    </row>
    <row r="5" spans="1:16" x14ac:dyDescent="0.2">
      <c r="P5" s="13"/>
    </row>
    <row r="7" spans="1:16" ht="18.75" x14ac:dyDescent="0.3">
      <c r="B7" s="2" t="s">
        <v>265</v>
      </c>
    </row>
    <row r="8" spans="1:16" outlineLevel="1" x14ac:dyDescent="0.2">
      <c r="C8" s="11" t="s">
        <v>273</v>
      </c>
      <c r="F8" s="9"/>
      <c r="G8" s="9"/>
    </row>
    <row r="9" spans="1:16" outlineLevel="1" x14ac:dyDescent="0.2">
      <c r="C9" s="3"/>
      <c r="D9" s="4">
        <v>10</v>
      </c>
    </row>
    <row r="10" spans="1:16" outlineLevel="1" x14ac:dyDescent="0.2">
      <c r="C10" s="5">
        <v>2</v>
      </c>
      <c r="D10" s="6">
        <f>D9*C10</f>
        <v>20</v>
      </c>
      <c r="F10" s="44">
        <v>2</v>
      </c>
      <c r="G10" s="45">
        <v>20</v>
      </c>
    </row>
    <row r="11" spans="1:16" outlineLevel="1" x14ac:dyDescent="0.2">
      <c r="C11" s="5">
        <v>4</v>
      </c>
      <c r="D11" s="6">
        <f>D9*C11</f>
        <v>40</v>
      </c>
      <c r="F11" s="44">
        <v>4</v>
      </c>
      <c r="G11" s="45">
        <v>40</v>
      </c>
    </row>
    <row r="12" spans="1:16" outlineLevel="1" x14ac:dyDescent="0.2">
      <c r="C12" s="5">
        <v>6</v>
      </c>
      <c r="D12" s="6">
        <f>D9*C12</f>
        <v>60</v>
      </c>
      <c r="F12" s="44">
        <v>6</v>
      </c>
      <c r="G12" s="45">
        <v>60</v>
      </c>
    </row>
    <row r="13" spans="1:16" outlineLevel="1" x14ac:dyDescent="0.2">
      <c r="C13" s="5">
        <v>8</v>
      </c>
      <c r="D13" s="6">
        <f>D9*C13</f>
        <v>80</v>
      </c>
      <c r="F13" s="44">
        <v>8</v>
      </c>
      <c r="G13" s="45">
        <v>80</v>
      </c>
    </row>
    <row r="14" spans="1:16" outlineLevel="1" x14ac:dyDescent="0.2">
      <c r="F14" s="3"/>
      <c r="G14" s="3"/>
    </row>
    <row r="15" spans="1:16" outlineLevel="1" x14ac:dyDescent="0.2"/>
    <row r="16" spans="1:16" outlineLevel="1" x14ac:dyDescent="0.2">
      <c r="C16" s="11" t="s">
        <v>274</v>
      </c>
    </row>
    <row r="17" spans="3:7" outlineLevel="1" x14ac:dyDescent="0.2">
      <c r="C17" s="3"/>
      <c r="D17" s="4">
        <v>10</v>
      </c>
    </row>
    <row r="18" spans="3:7" outlineLevel="1" x14ac:dyDescent="0.2">
      <c r="C18" s="5">
        <v>2</v>
      </c>
      <c r="D18" s="6">
        <f>C18*D17</f>
        <v>20</v>
      </c>
      <c r="G18" s="6"/>
    </row>
    <row r="19" spans="3:7" outlineLevel="1" x14ac:dyDescent="0.2">
      <c r="C19" s="5">
        <v>4</v>
      </c>
      <c r="D19" s="6">
        <f>C19*D17</f>
        <v>40</v>
      </c>
      <c r="G19" s="6"/>
    </row>
    <row r="20" spans="3:7" outlineLevel="1" x14ac:dyDescent="0.2">
      <c r="C20" s="5">
        <v>6</v>
      </c>
      <c r="D20" s="6">
        <f>C20*D17</f>
        <v>60</v>
      </c>
      <c r="G20" s="6"/>
    </row>
    <row r="21" spans="3:7" outlineLevel="1" x14ac:dyDescent="0.2">
      <c r="C21" s="5">
        <v>8</v>
      </c>
      <c r="D21" s="6">
        <f>C21*D17</f>
        <v>80</v>
      </c>
      <c r="G21" s="6"/>
    </row>
    <row r="22" spans="3:7" outlineLevel="1" x14ac:dyDescent="0.2">
      <c r="F22" s="3"/>
      <c r="G22" s="3"/>
    </row>
    <row r="23" spans="3:7" outlineLevel="1" x14ac:dyDescent="0.2">
      <c r="F23" s="3"/>
    </row>
    <row r="24" spans="3:7" outlineLevel="1" x14ac:dyDescent="0.2">
      <c r="C24" s="11" t="s">
        <v>275</v>
      </c>
    </row>
    <row r="25" spans="3:7" outlineLevel="1" x14ac:dyDescent="0.2">
      <c r="C25" s="3"/>
      <c r="D25" s="4">
        <v>10</v>
      </c>
      <c r="G25" s="11">
        <v>10</v>
      </c>
    </row>
    <row r="26" spans="3:7" outlineLevel="1" x14ac:dyDescent="0.2">
      <c r="C26" s="5">
        <v>2</v>
      </c>
      <c r="D26" s="6">
        <f>D25*C26</f>
        <v>20</v>
      </c>
      <c r="F26" s="5">
        <v>20</v>
      </c>
      <c r="G26" s="45">
        <f>G25*F26</f>
        <v>200</v>
      </c>
    </row>
    <row r="27" spans="3:7" outlineLevel="1" x14ac:dyDescent="0.2">
      <c r="C27" s="5">
        <v>4</v>
      </c>
      <c r="D27" s="6">
        <f>D25*C27</f>
        <v>40</v>
      </c>
      <c r="F27" s="5">
        <v>40</v>
      </c>
      <c r="G27" s="45">
        <f>G25*F27</f>
        <v>400</v>
      </c>
    </row>
    <row r="28" spans="3:7" outlineLevel="1" x14ac:dyDescent="0.2">
      <c r="C28" s="5">
        <v>6</v>
      </c>
      <c r="D28" s="6">
        <f>D25*C28</f>
        <v>60</v>
      </c>
      <c r="F28" s="5">
        <v>60</v>
      </c>
      <c r="G28" s="45">
        <f>G25*F28</f>
        <v>600</v>
      </c>
    </row>
    <row r="29" spans="3:7" outlineLevel="1" x14ac:dyDescent="0.2">
      <c r="C29" s="5">
        <v>8</v>
      </c>
      <c r="D29" s="6">
        <f>D25*C29</f>
        <v>80</v>
      </c>
      <c r="F29" s="5">
        <v>80</v>
      </c>
      <c r="G29" s="45">
        <f>G25*F29</f>
        <v>800</v>
      </c>
    </row>
    <row r="30" spans="3:7" outlineLevel="1" x14ac:dyDescent="0.2"/>
    <row r="31" spans="3:7" outlineLevel="1" x14ac:dyDescent="0.2"/>
    <row r="32" spans="3:7" outlineLevel="1" x14ac:dyDescent="0.2"/>
    <row r="33" spans="2:9" outlineLevel="1" x14ac:dyDescent="0.2"/>
    <row r="34" spans="2:9" outlineLevel="1" x14ac:dyDescent="0.2"/>
    <row r="35" spans="2:9" outlineLevel="1" x14ac:dyDescent="0.2"/>
    <row r="36" spans="2:9" outlineLevel="1" x14ac:dyDescent="0.2"/>
    <row r="37" spans="2:9" outlineLevel="1" x14ac:dyDescent="0.2"/>
    <row r="38" spans="2:9" outlineLevel="1" x14ac:dyDescent="0.2"/>
    <row r="39" spans="2:9" ht="18.75" x14ac:dyDescent="0.3">
      <c r="B39" s="2" t="s">
        <v>272</v>
      </c>
    </row>
    <row r="40" spans="2:9" outlineLevel="1" x14ac:dyDescent="0.2"/>
    <row r="41" spans="2:9" outlineLevel="1" x14ac:dyDescent="0.2">
      <c r="C41" s="42"/>
      <c r="D41" s="42"/>
      <c r="E41" s="42" t="s">
        <v>7</v>
      </c>
      <c r="F41" s="42" t="s">
        <v>8</v>
      </c>
      <c r="G41" s="42" t="s">
        <v>9</v>
      </c>
      <c r="H41" s="42" t="s">
        <v>10</v>
      </c>
      <c r="I41" s="42" t="s">
        <v>11</v>
      </c>
    </row>
    <row r="42" spans="2:9" ht="12.75" customHeight="1" outlineLevel="1" x14ac:dyDescent="0.2">
      <c r="C42" s="65" t="s">
        <v>12</v>
      </c>
      <c r="D42" s="66"/>
      <c r="E42" s="46">
        <v>49.95</v>
      </c>
      <c r="F42" s="46">
        <v>9.99</v>
      </c>
      <c r="G42" s="46">
        <v>15.5</v>
      </c>
      <c r="H42" s="46">
        <v>60.99</v>
      </c>
      <c r="I42" s="46">
        <v>32.25</v>
      </c>
    </row>
    <row r="43" spans="2:9" outlineLevel="1" x14ac:dyDescent="0.2">
      <c r="C43" s="65" t="s">
        <v>13</v>
      </c>
      <c r="D43" s="66"/>
      <c r="E43" s="47">
        <v>10</v>
      </c>
      <c r="F43" s="47">
        <v>42</v>
      </c>
      <c r="G43" s="47">
        <v>32</v>
      </c>
      <c r="H43" s="47">
        <v>6</v>
      </c>
      <c r="I43" s="47">
        <v>50</v>
      </c>
    </row>
    <row r="44" spans="2:9" outlineLevel="1" x14ac:dyDescent="0.2">
      <c r="C44" s="65" t="s">
        <v>14</v>
      </c>
      <c r="D44" s="66"/>
      <c r="E44" s="43">
        <f>E42*E43</f>
        <v>499.5</v>
      </c>
      <c r="F44" s="43">
        <f>F42*F43</f>
        <v>419.58</v>
      </c>
      <c r="G44" s="43">
        <f>G42*G43</f>
        <v>496</v>
      </c>
      <c r="H44" s="43">
        <f>H42*H43</f>
        <v>365.94</v>
      </c>
      <c r="I44" s="43">
        <f>I42*I43</f>
        <v>1612.5</v>
      </c>
    </row>
    <row r="45" spans="2:9" outlineLevel="1" x14ac:dyDescent="0.2"/>
    <row r="46" spans="2:9" outlineLevel="1" x14ac:dyDescent="0.2">
      <c r="C46" s="36" t="s">
        <v>276</v>
      </c>
      <c r="F46" s="9"/>
    </row>
    <row r="47" spans="2:9" outlineLevel="1" x14ac:dyDescent="0.2">
      <c r="C47" s="9"/>
    </row>
    <row r="48" spans="2:9" outlineLevel="1" x14ac:dyDescent="0.2">
      <c r="C48" s="42" t="s">
        <v>14</v>
      </c>
      <c r="D48" s="42"/>
      <c r="E48" s="53">
        <v>499.5</v>
      </c>
      <c r="F48" s="53">
        <v>419.58</v>
      </c>
      <c r="G48" s="53">
        <v>496</v>
      </c>
      <c r="H48" s="53">
        <v>365.94</v>
      </c>
      <c r="I48" s="53">
        <v>1612.5</v>
      </c>
    </row>
    <row r="49" spans="3:11" outlineLevel="1" x14ac:dyDescent="0.2">
      <c r="C49" s="9"/>
    </row>
    <row r="50" spans="3:11" outlineLevel="1" x14ac:dyDescent="0.2">
      <c r="C50" s="9"/>
    </row>
    <row r="51" spans="3:11" outlineLevel="1" x14ac:dyDescent="0.2">
      <c r="C51" s="36" t="s">
        <v>277</v>
      </c>
    </row>
    <row r="52" spans="3:11" outlineLevel="1" x14ac:dyDescent="0.2">
      <c r="C52" s="36"/>
    </row>
    <row r="53" spans="3:11" ht="12.75" customHeight="1" outlineLevel="1" x14ac:dyDescent="0.2">
      <c r="C53" s="42"/>
      <c r="D53" s="42"/>
      <c r="E53" s="42"/>
      <c r="F53" s="42"/>
      <c r="G53" s="42"/>
      <c r="H53" s="42"/>
      <c r="I53" s="42"/>
    </row>
    <row r="54" spans="3:11" outlineLevel="1" x14ac:dyDescent="0.2">
      <c r="C54" s="65"/>
      <c r="D54" s="66"/>
      <c r="E54" s="46"/>
      <c r="F54" s="46"/>
      <c r="G54" s="46"/>
      <c r="H54" s="46"/>
      <c r="I54" s="46"/>
    </row>
    <row r="55" spans="3:11" outlineLevel="1" x14ac:dyDescent="0.2">
      <c r="C55" s="65"/>
      <c r="D55" s="66"/>
      <c r="E55" s="47"/>
      <c r="F55" s="47"/>
      <c r="G55" s="47"/>
      <c r="H55" s="47"/>
      <c r="I55" s="47"/>
    </row>
    <row r="56" spans="3:11" outlineLevel="1" x14ac:dyDescent="0.2">
      <c r="C56" s="65"/>
      <c r="D56" s="66"/>
      <c r="E56" s="43"/>
      <c r="F56" s="43"/>
      <c r="G56" s="43"/>
      <c r="H56" s="43"/>
      <c r="I56" s="43"/>
    </row>
    <row r="57" spans="3:11" outlineLevel="1" x14ac:dyDescent="0.2">
      <c r="C57" s="9"/>
      <c r="F57" s="9"/>
      <c r="G57" s="9"/>
      <c r="H57" s="9"/>
      <c r="I57" s="9"/>
      <c r="J57" s="9"/>
      <c r="K57" s="9"/>
    </row>
    <row r="58" spans="3:11" outlineLevel="1" x14ac:dyDescent="0.2">
      <c r="C58" s="9"/>
    </row>
    <row r="59" spans="3:11" outlineLevel="1" x14ac:dyDescent="0.2">
      <c r="C59" s="36" t="s">
        <v>278</v>
      </c>
    </row>
    <row r="60" spans="3:11" outlineLevel="1" x14ac:dyDescent="0.2"/>
    <row r="61" spans="3:11" outlineLevel="1" x14ac:dyDescent="0.2">
      <c r="C61" s="42"/>
      <c r="D61" s="42"/>
      <c r="E61" s="42" t="s">
        <v>7</v>
      </c>
      <c r="F61" s="42" t="s">
        <v>8</v>
      </c>
      <c r="G61" s="42" t="s">
        <v>9</v>
      </c>
      <c r="H61" s="42" t="s">
        <v>10</v>
      </c>
      <c r="I61" s="42" t="s">
        <v>11</v>
      </c>
    </row>
    <row r="62" spans="3:11" outlineLevel="1" x14ac:dyDescent="0.2">
      <c r="C62" s="65" t="s">
        <v>20</v>
      </c>
      <c r="D62" s="66"/>
      <c r="E62" s="46">
        <v>187.25</v>
      </c>
      <c r="F62" s="46">
        <v>226.39</v>
      </c>
      <c r="G62" s="46">
        <v>224.89</v>
      </c>
      <c r="H62" s="46">
        <v>250.93</v>
      </c>
      <c r="I62" s="46">
        <v>252.65</v>
      </c>
    </row>
    <row r="63" spans="3:11" outlineLevel="1" x14ac:dyDescent="0.2">
      <c r="C63" s="65" t="s">
        <v>259</v>
      </c>
      <c r="D63" s="66"/>
      <c r="E63" s="47">
        <v>159.16249999999999</v>
      </c>
      <c r="F63" s="47">
        <v>187.90369999999999</v>
      </c>
      <c r="G63" s="47">
        <v>193.40539999999999</v>
      </c>
      <c r="H63" s="47">
        <v>220.8184</v>
      </c>
      <c r="I63" s="47">
        <v>212.226</v>
      </c>
    </row>
    <row r="64" spans="3:11" outlineLevel="1" x14ac:dyDescent="0.2">
      <c r="C64" s="65" t="s">
        <v>260</v>
      </c>
      <c r="D64" s="66"/>
      <c r="E64" s="43">
        <f>E62-E63</f>
        <v>28.087500000000006</v>
      </c>
      <c r="F64" s="43">
        <f>F62-F63</f>
        <v>38.4863</v>
      </c>
      <c r="G64" s="43">
        <f>G62-G63</f>
        <v>31.4846</v>
      </c>
      <c r="H64" s="43">
        <f>H62-H63</f>
        <v>30.11160000000001</v>
      </c>
      <c r="I64" s="43">
        <f>I62-I63</f>
        <v>40.424000000000007</v>
      </c>
      <c r="J64" s="8"/>
      <c r="K64" s="8"/>
    </row>
    <row r="65" spans="2:11" outlineLevel="1" x14ac:dyDescent="0.2">
      <c r="C65" s="9"/>
      <c r="D65" s="49"/>
      <c r="E65" s="49"/>
      <c r="F65" s="49"/>
      <c r="G65" s="49"/>
      <c r="H65" s="49"/>
      <c r="I65" s="8"/>
      <c r="J65" s="8"/>
      <c r="K65" s="8"/>
    </row>
    <row r="66" spans="2:11" outlineLevel="1" x14ac:dyDescent="0.2">
      <c r="C66" s="9"/>
      <c r="D66" s="49"/>
      <c r="E66" s="49"/>
      <c r="F66" s="49"/>
      <c r="G66" s="49"/>
      <c r="H66" s="49"/>
      <c r="I66" s="8"/>
      <c r="J66" s="8"/>
      <c r="K66" s="8"/>
    </row>
    <row r="67" spans="2:11" outlineLevel="1" x14ac:dyDescent="0.2">
      <c r="C67" s="9"/>
      <c r="D67" s="49"/>
      <c r="E67" s="49"/>
      <c r="F67" s="49"/>
      <c r="G67" s="49"/>
      <c r="H67" s="49"/>
      <c r="I67" s="8"/>
      <c r="J67" s="8"/>
      <c r="K67" s="8"/>
    </row>
    <row r="68" spans="2:11" outlineLevel="1" x14ac:dyDescent="0.2">
      <c r="F68" s="9"/>
      <c r="G68" s="8"/>
      <c r="H68" s="8"/>
      <c r="I68" s="8"/>
      <c r="J68" s="8"/>
      <c r="K68" s="8"/>
    </row>
    <row r="69" spans="2:11" ht="18.75" x14ac:dyDescent="0.3">
      <c r="B69" s="2" t="s">
        <v>279</v>
      </c>
      <c r="F69" s="9"/>
      <c r="G69" s="9"/>
      <c r="H69" s="9"/>
      <c r="I69" s="9"/>
      <c r="J69" s="9"/>
      <c r="K69" s="9"/>
    </row>
    <row r="70" spans="2:11" outlineLevel="1" x14ac:dyDescent="0.2">
      <c r="F70" s="9"/>
      <c r="G70" s="9"/>
      <c r="H70" s="9"/>
      <c r="I70" s="9"/>
      <c r="J70" s="9"/>
      <c r="K70" s="9"/>
    </row>
    <row r="71" spans="2:11" ht="12.75" customHeight="1" outlineLevel="1" x14ac:dyDescent="0.2">
      <c r="C71" s="64" t="s">
        <v>261</v>
      </c>
      <c r="D71" s="64"/>
      <c r="E71" s="64"/>
      <c r="F71" s="64"/>
      <c r="G71" s="64"/>
      <c r="H71" s="64"/>
      <c r="I71" s="64"/>
      <c r="J71" s="64"/>
      <c r="K71" s="9"/>
    </row>
    <row r="72" spans="2:11" outlineLevel="1" x14ac:dyDescent="0.2">
      <c r="C72" s="64"/>
      <c r="D72" s="64"/>
      <c r="E72" s="64"/>
      <c r="F72" s="64"/>
      <c r="G72" s="64"/>
      <c r="H72" s="64"/>
      <c r="I72" s="64"/>
      <c r="J72" s="64"/>
    </row>
    <row r="73" spans="2:11" outlineLevel="1" x14ac:dyDescent="0.2">
      <c r="C73" s="64"/>
      <c r="D73" s="64"/>
      <c r="E73" s="64"/>
      <c r="F73" s="64"/>
      <c r="G73" s="64"/>
      <c r="H73" s="64"/>
      <c r="I73" s="64"/>
      <c r="J73" s="64"/>
    </row>
    <row r="74" spans="2:11" outlineLevel="1" x14ac:dyDescent="0.2"/>
    <row r="75" spans="2:11" outlineLevel="1" x14ac:dyDescent="0.2">
      <c r="C75" s="42"/>
      <c r="D75" s="42"/>
      <c r="E75" s="42" t="s">
        <v>15</v>
      </c>
      <c r="F75" s="42" t="s">
        <v>16</v>
      </c>
      <c r="G75" s="42" t="s">
        <v>17</v>
      </c>
      <c r="H75" s="42" t="s">
        <v>18</v>
      </c>
      <c r="I75" s="42" t="s">
        <v>19</v>
      </c>
    </row>
    <row r="76" spans="2:11" outlineLevel="1" x14ac:dyDescent="0.2">
      <c r="C76" s="67" t="s">
        <v>20</v>
      </c>
      <c r="D76" s="68"/>
      <c r="E76" s="50">
        <v>-184790</v>
      </c>
      <c r="F76" s="50">
        <v>-103998</v>
      </c>
      <c r="G76" s="50">
        <v>-96732</v>
      </c>
      <c r="H76" s="50">
        <v>-234550</v>
      </c>
      <c r="I76" s="50">
        <v>-78376</v>
      </c>
    </row>
    <row r="77" spans="2:11" outlineLevel="1" x14ac:dyDescent="0.2">
      <c r="C77" s="62" t="s">
        <v>21</v>
      </c>
      <c r="D77" s="63"/>
      <c r="E77" s="58">
        <v>-123809.3</v>
      </c>
      <c r="F77" s="58">
        <v>-69678.66</v>
      </c>
      <c r="G77" s="58">
        <v>-64810.44</v>
      </c>
      <c r="H77" s="58">
        <v>-157148.5</v>
      </c>
      <c r="I77" s="58">
        <v>-52511.920000000006</v>
      </c>
    </row>
    <row r="78" spans="2:11" outlineLevel="1" x14ac:dyDescent="0.2">
      <c r="C78" s="62" t="s">
        <v>22</v>
      </c>
      <c r="D78" s="63"/>
      <c r="E78" s="50">
        <f>E76+E77</f>
        <v>-308599.3</v>
      </c>
      <c r="F78" s="50">
        <f>F76+F77</f>
        <v>-173676.66</v>
      </c>
      <c r="G78" s="50">
        <f>G76+G77</f>
        <v>-161542.44</v>
      </c>
      <c r="H78" s="50">
        <f>H76+H77</f>
        <v>-391698.5</v>
      </c>
      <c r="I78" s="50">
        <f>I76+I77</f>
        <v>-130887.92000000001</v>
      </c>
    </row>
    <row r="79" spans="2:11" outlineLevel="1" x14ac:dyDescent="0.2">
      <c r="D79" s="9"/>
      <c r="E79" s="9"/>
      <c r="F79" s="9"/>
      <c r="G79" s="9"/>
      <c r="H79" s="9"/>
      <c r="I79" s="9"/>
    </row>
    <row r="80" spans="2:11" outlineLevel="1" x14ac:dyDescent="0.2">
      <c r="D80" s="9"/>
      <c r="E80" s="9"/>
      <c r="F80" s="9"/>
      <c r="G80" s="9"/>
      <c r="H80" s="9"/>
      <c r="I80" s="51">
        <v>-1</v>
      </c>
    </row>
    <row r="81" spans="2:11" outlineLevel="1" x14ac:dyDescent="0.2">
      <c r="F81" s="9"/>
      <c r="G81" s="9"/>
      <c r="H81" s="9"/>
      <c r="I81" s="9"/>
      <c r="J81" s="9"/>
      <c r="K81" s="9"/>
    </row>
    <row r="82" spans="2:11" outlineLevel="1" x14ac:dyDescent="0.2"/>
    <row r="83" spans="2:11" outlineLevel="1" x14ac:dyDescent="0.2"/>
    <row r="84" spans="2:11" outlineLevel="1" x14ac:dyDescent="0.2"/>
    <row r="85" spans="2:11" outlineLevel="1" x14ac:dyDescent="0.2">
      <c r="F85" s="9"/>
      <c r="G85" s="9"/>
      <c r="H85" s="9"/>
      <c r="I85" s="9"/>
      <c r="J85" s="9"/>
      <c r="K85" s="9"/>
    </row>
    <row r="86" spans="2:11" ht="18.75" x14ac:dyDescent="0.3">
      <c r="B86" s="2" t="s">
        <v>266</v>
      </c>
      <c r="F86" s="9"/>
      <c r="G86" s="9"/>
      <c r="H86" s="9"/>
      <c r="I86" s="9"/>
      <c r="J86" s="9"/>
    </row>
    <row r="87" spans="2:11" outlineLevel="1" x14ac:dyDescent="0.2">
      <c r="F87" s="9"/>
      <c r="G87" s="9"/>
      <c r="H87" s="9"/>
      <c r="I87" s="9"/>
      <c r="J87" s="9"/>
      <c r="K87" s="9"/>
    </row>
    <row r="88" spans="2:11" outlineLevel="1" x14ac:dyDescent="0.2">
      <c r="C88" s="11" t="s">
        <v>271</v>
      </c>
    </row>
    <row r="89" spans="2:11" outlineLevel="1" x14ac:dyDescent="0.2"/>
    <row r="90" spans="2:11" outlineLevel="1" x14ac:dyDescent="0.2">
      <c r="C90" s="11" t="s">
        <v>15</v>
      </c>
      <c r="D90" s="9"/>
      <c r="E90" s="9"/>
      <c r="F90" s="9"/>
      <c r="G90" s="9"/>
      <c r="H90" s="9"/>
    </row>
    <row r="91" spans="2:11" outlineLevel="1" x14ac:dyDescent="0.2">
      <c r="C91" s="11" t="s">
        <v>16</v>
      </c>
      <c r="D91" s="9"/>
      <c r="E91" s="9"/>
      <c r="F91" s="9"/>
      <c r="G91" s="9"/>
      <c r="H91" s="9"/>
    </row>
    <row r="92" spans="2:11" outlineLevel="1" x14ac:dyDescent="0.2">
      <c r="C92" s="11" t="s">
        <v>17</v>
      </c>
      <c r="D92" s="9"/>
      <c r="E92" s="9"/>
      <c r="F92" s="9"/>
      <c r="G92" s="9"/>
      <c r="H92" s="9"/>
    </row>
    <row r="93" spans="2:11" outlineLevel="1" x14ac:dyDescent="0.2">
      <c r="C93" s="11" t="s">
        <v>18</v>
      </c>
      <c r="D93" s="9"/>
      <c r="E93" s="9"/>
      <c r="F93" s="9"/>
      <c r="G93" s="9"/>
      <c r="H93" s="9"/>
    </row>
    <row r="94" spans="2:11" outlineLevel="1" x14ac:dyDescent="0.2">
      <c r="C94" s="11" t="s">
        <v>19</v>
      </c>
      <c r="D94" s="9"/>
      <c r="E94" s="9"/>
      <c r="F94" s="9"/>
      <c r="G94" s="9"/>
      <c r="H94" s="9"/>
    </row>
    <row r="95" spans="2:11" outlineLevel="1" x14ac:dyDescent="0.2">
      <c r="C95" s="9"/>
      <c r="D95" s="52" t="s">
        <v>15</v>
      </c>
      <c r="E95" s="52" t="s">
        <v>16</v>
      </c>
      <c r="F95" s="52" t="s">
        <v>17</v>
      </c>
      <c r="G95" s="52" t="s">
        <v>18</v>
      </c>
      <c r="H95" s="52" t="s">
        <v>19</v>
      </c>
    </row>
    <row r="96" spans="2:11" outlineLevel="1" x14ac:dyDescent="0.2">
      <c r="C96" s="9"/>
      <c r="D96" s="50">
        <v>184790</v>
      </c>
      <c r="E96" s="50">
        <v>103998</v>
      </c>
      <c r="F96" s="50">
        <v>96732</v>
      </c>
      <c r="G96" s="50">
        <v>234550</v>
      </c>
      <c r="H96" s="50">
        <v>78376</v>
      </c>
    </row>
    <row r="98" spans="2:2" ht="18.75" x14ac:dyDescent="0.3">
      <c r="B98" s="2"/>
    </row>
  </sheetData>
  <mergeCells count="13">
    <mergeCell ref="C42:D42"/>
    <mergeCell ref="C43:D43"/>
    <mergeCell ref="C44:D44"/>
    <mergeCell ref="C71:J73"/>
    <mergeCell ref="C76:D76"/>
    <mergeCell ref="C78:D78"/>
    <mergeCell ref="C62:D62"/>
    <mergeCell ref="C63:D63"/>
    <mergeCell ref="C64:D64"/>
    <mergeCell ref="C54:D54"/>
    <mergeCell ref="C55:D55"/>
    <mergeCell ref="C56:D56"/>
    <mergeCell ref="C77:D77"/>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ThisWorkbook.GoBackPasteSpecial1A">
                <anchor moveWithCells="1" sizeWithCells="1">
                  <from>
                    <xdr:col>10</xdr:col>
                    <xdr:colOff>457200</xdr:colOff>
                    <xdr:row>10</xdr:row>
                    <xdr:rowOff>38100</xdr:rowOff>
                  </from>
                  <to>
                    <xdr:col>13</xdr:col>
                    <xdr:colOff>76200</xdr:colOff>
                    <xdr:row>13</xdr:row>
                    <xdr:rowOff>76200</xdr:rowOff>
                  </to>
                </anchor>
              </controlPr>
            </control>
          </mc:Choice>
        </mc:AlternateContent>
        <mc:AlternateContent xmlns:mc="http://schemas.openxmlformats.org/markup-compatibility/2006">
          <mc:Choice Requires="x14">
            <control shapeId="4099" r:id="rId5" name="Button 3">
              <controlPr defaultSize="0" print="0" autoFill="0" autoPict="0" macro="[0]!ThisWorkbook.GoBackPasteSpecial1B">
                <anchor moveWithCells="1" sizeWithCells="1">
                  <from>
                    <xdr:col>15</xdr:col>
                    <xdr:colOff>457200</xdr:colOff>
                    <xdr:row>40</xdr:row>
                    <xdr:rowOff>38100</xdr:rowOff>
                  </from>
                  <to>
                    <xdr:col>19</xdr:col>
                    <xdr:colOff>66675</xdr:colOff>
                    <xdr:row>43</xdr:row>
                    <xdr:rowOff>76200</xdr:rowOff>
                  </to>
                </anchor>
              </controlPr>
            </control>
          </mc:Choice>
        </mc:AlternateContent>
        <mc:AlternateContent xmlns:mc="http://schemas.openxmlformats.org/markup-compatibility/2006">
          <mc:Choice Requires="x14">
            <control shapeId="4100" r:id="rId6" name="Button 4">
              <controlPr defaultSize="0" print="0" autoFill="0" autoPict="0" macro="[0]!ThisWorkbook.GoBackPasteSpecial2A">
                <anchor moveWithCells="1" sizeWithCells="1">
                  <from>
                    <xdr:col>12</xdr:col>
                    <xdr:colOff>457200</xdr:colOff>
                    <xdr:row>70</xdr:row>
                    <xdr:rowOff>38100</xdr:rowOff>
                  </from>
                  <to>
                    <xdr:col>15</xdr:col>
                    <xdr:colOff>419100</xdr:colOff>
                    <xdr:row>73</xdr:row>
                    <xdr:rowOff>76200</xdr:rowOff>
                  </to>
                </anchor>
              </controlPr>
            </control>
          </mc:Choice>
        </mc:AlternateContent>
        <mc:AlternateContent xmlns:mc="http://schemas.openxmlformats.org/markup-compatibility/2006">
          <mc:Choice Requires="x14">
            <control shapeId="4101" r:id="rId7" name="Button 5">
              <controlPr defaultSize="0" print="0" autoFill="0" autoPict="0" macro="[0]!ThisWorkbook.GoBackPasteSpecial3A">
                <anchor moveWithCells="1" sizeWithCells="1">
                  <from>
                    <xdr:col>12</xdr:col>
                    <xdr:colOff>457200</xdr:colOff>
                    <xdr:row>87</xdr:row>
                    <xdr:rowOff>38100</xdr:rowOff>
                  </from>
                  <to>
                    <xdr:col>15</xdr:col>
                    <xdr:colOff>419100</xdr:colOff>
                    <xdr:row>90</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61"/>
  <sheetViews>
    <sheetView showGridLines="0" topLeftCell="C28" workbookViewId="0">
      <selection activeCell="H39" sqref="H39"/>
    </sheetView>
  </sheetViews>
  <sheetFormatPr defaultColWidth="9.1640625" defaultRowHeight="12.75" outlineLevelRow="1" x14ac:dyDescent="0.2"/>
  <cols>
    <col min="1" max="3" width="9.1640625" style="11" customWidth="1"/>
    <col min="4" max="4" width="13.33203125" style="11" customWidth="1"/>
    <col min="5" max="5" width="9.1640625" style="11" customWidth="1"/>
    <col min="6" max="6" width="13.1640625" style="11" customWidth="1"/>
    <col min="7" max="15" width="14" style="11" customWidth="1"/>
    <col min="16" max="16" width="9.1640625" style="11" customWidth="1"/>
    <col min="17" max="16384" width="9.1640625" style="11"/>
  </cols>
  <sheetData>
    <row r="1" spans="1:15" ht="18.75" x14ac:dyDescent="0.3">
      <c r="A1" s="10" t="str">
        <f>Introduction!A1</f>
        <v>Problem Solving with Excel</v>
      </c>
    </row>
    <row r="2" spans="1:15" x14ac:dyDescent="0.2">
      <c r="A2" s="12" t="str">
        <f>Introduction!A2</f>
        <v>Week 1</v>
      </c>
    </row>
    <row r="3" spans="1:15" x14ac:dyDescent="0.2">
      <c r="A3" s="12" t="str">
        <f>Introduction!A3</f>
        <v>Basic Functionality</v>
      </c>
    </row>
    <row r="4" spans="1:15" x14ac:dyDescent="0.2">
      <c r="A4" s="12" t="str">
        <f ca="1">MID(CELL("Filename",I7),SEARCH("]",CELL("Filename",I7),1)+1,100)</f>
        <v>Section 2 - Cell Locking</v>
      </c>
    </row>
    <row r="5" spans="1:15" x14ac:dyDescent="0.2">
      <c r="O5" s="13"/>
    </row>
    <row r="7" spans="1:15" ht="18.75" x14ac:dyDescent="0.3">
      <c r="B7" s="2" t="s">
        <v>267</v>
      </c>
    </row>
    <row r="8" spans="1:15" ht="13.5" customHeight="1" outlineLevel="1" x14ac:dyDescent="0.3">
      <c r="B8" s="2"/>
    </row>
    <row r="9" spans="1:15" ht="13.5" customHeight="1" outlineLevel="1" x14ac:dyDescent="0.3">
      <c r="B9" s="2"/>
      <c r="D9" s="34" t="s">
        <v>280</v>
      </c>
    </row>
    <row r="10" spans="1:15" ht="13.5" customHeight="1" outlineLevel="1" x14ac:dyDescent="0.3">
      <c r="B10" s="2"/>
    </row>
    <row r="11" spans="1:15" ht="13.5" outlineLevel="1" thickBot="1" x14ac:dyDescent="0.25">
      <c r="F11" s="42"/>
      <c r="G11" s="42" t="s">
        <v>281</v>
      </c>
      <c r="H11" s="42" t="s">
        <v>282</v>
      </c>
      <c r="I11" s="9"/>
      <c r="J11" s="33"/>
      <c r="K11" s="33"/>
      <c r="L11" s="33"/>
    </row>
    <row r="12" spans="1:15" ht="12.75" customHeight="1" outlineLevel="1" x14ac:dyDescent="0.2">
      <c r="F12" s="42" t="s">
        <v>15</v>
      </c>
      <c r="G12" s="55">
        <v>100</v>
      </c>
      <c r="H12" s="55">
        <v>350</v>
      </c>
      <c r="I12" s="9"/>
      <c r="J12" s="42" t="s">
        <v>24</v>
      </c>
      <c r="K12" s="42"/>
      <c r="L12" s="37">
        <v>0.05</v>
      </c>
    </row>
    <row r="13" spans="1:15" outlineLevel="1" x14ac:dyDescent="0.2">
      <c r="F13" s="42" t="s">
        <v>16</v>
      </c>
      <c r="G13" s="48">
        <f>G12*$L$12+G12</f>
        <v>105</v>
      </c>
      <c r="H13" s="69">
        <f>H12*$L$12+H12</f>
        <v>367.5</v>
      </c>
      <c r="I13" s="9"/>
      <c r="J13" s="3"/>
      <c r="K13" s="3"/>
    </row>
    <row r="14" spans="1:15" outlineLevel="1" x14ac:dyDescent="0.2">
      <c r="F14" s="42" t="s">
        <v>17</v>
      </c>
      <c r="G14" s="48">
        <f t="shared" ref="G14:G17" si="0">G13*$L$12+G13</f>
        <v>110.25</v>
      </c>
      <c r="H14" s="69">
        <f t="shared" ref="H14:H17" si="1">H13*$L$12+H13</f>
        <v>385.875</v>
      </c>
      <c r="I14" s="9"/>
      <c r="J14" s="3"/>
      <c r="K14" s="3"/>
    </row>
    <row r="15" spans="1:15" outlineLevel="1" x14ac:dyDescent="0.2">
      <c r="B15" s="9"/>
      <c r="C15" s="3"/>
      <c r="D15" s="3"/>
      <c r="E15" s="3"/>
      <c r="F15" s="42" t="s">
        <v>18</v>
      </c>
      <c r="G15" s="48">
        <f t="shared" si="0"/>
        <v>115.7625</v>
      </c>
      <c r="H15" s="69">
        <f t="shared" si="1"/>
        <v>405.16874999999999</v>
      </c>
      <c r="I15" s="3"/>
      <c r="J15" s="3"/>
      <c r="K15" s="3"/>
    </row>
    <row r="16" spans="1:15" outlineLevel="1" x14ac:dyDescent="0.2">
      <c r="B16" s="9"/>
      <c r="C16" s="3"/>
      <c r="D16" s="3"/>
      <c r="E16" s="3"/>
      <c r="F16" s="42" t="s">
        <v>19</v>
      </c>
      <c r="G16" s="48">
        <f t="shared" si="0"/>
        <v>121.550625</v>
      </c>
      <c r="H16" s="69">
        <f t="shared" si="1"/>
        <v>425.4271875</v>
      </c>
      <c r="I16" s="3"/>
      <c r="J16" s="3"/>
      <c r="K16" s="3"/>
    </row>
    <row r="17" spans="2:11" outlineLevel="1" x14ac:dyDescent="0.2">
      <c r="B17" s="9"/>
      <c r="C17" s="3"/>
      <c r="D17" s="3"/>
      <c r="E17" s="3"/>
      <c r="F17" s="42" t="s">
        <v>23</v>
      </c>
      <c r="G17" s="48">
        <f t="shared" si="0"/>
        <v>127.62815624999999</v>
      </c>
      <c r="H17" s="69">
        <f t="shared" si="1"/>
        <v>446.69854687500003</v>
      </c>
      <c r="I17" s="3"/>
      <c r="J17" s="3"/>
      <c r="K17" s="3"/>
    </row>
    <row r="18" spans="2:11" outlineLevel="1" x14ac:dyDescent="0.2"/>
    <row r="19" spans="2:11" outlineLevel="1" x14ac:dyDescent="0.2"/>
    <row r="20" spans="2:11" outlineLevel="1" x14ac:dyDescent="0.2"/>
    <row r="21" spans="2:11" ht="18.75" x14ac:dyDescent="0.3">
      <c r="B21" s="2" t="s">
        <v>268</v>
      </c>
    </row>
    <row r="22" spans="2:11" ht="13.5" customHeight="1" outlineLevel="1" x14ac:dyDescent="0.3">
      <c r="B22" s="2"/>
    </row>
    <row r="23" spans="2:11" ht="13.5" customHeight="1" outlineLevel="1" x14ac:dyDescent="0.3">
      <c r="B23" s="2"/>
      <c r="D23" s="34" t="s">
        <v>262</v>
      </c>
    </row>
    <row r="24" spans="2:11" ht="13.5" customHeight="1" outlineLevel="1" x14ac:dyDescent="0.3">
      <c r="B24" s="2"/>
      <c r="D24" s="34"/>
    </row>
    <row r="25" spans="2:11" outlineLevel="1" x14ac:dyDescent="0.2">
      <c r="F25" s="42"/>
      <c r="G25" s="54">
        <v>2016</v>
      </c>
      <c r="H25" s="54">
        <v>2017</v>
      </c>
      <c r="I25" s="54">
        <v>2018</v>
      </c>
      <c r="J25" s="54">
        <v>2019</v>
      </c>
      <c r="K25" s="54">
        <v>2020</v>
      </c>
    </row>
    <row r="26" spans="2:11" outlineLevel="1" x14ac:dyDescent="0.2">
      <c r="F26" s="42" t="s">
        <v>21</v>
      </c>
      <c r="G26" s="35">
        <v>5000</v>
      </c>
      <c r="H26" s="53">
        <f>G$26-G$26*$J$28</f>
        <v>4500</v>
      </c>
      <c r="I26" s="53">
        <f t="shared" ref="I26:K26" si="2">H$26-H$26*$J$28</f>
        <v>4050</v>
      </c>
      <c r="J26" s="53">
        <f t="shared" si="2"/>
        <v>3645</v>
      </c>
      <c r="K26" s="53">
        <f t="shared" si="2"/>
        <v>3280.5</v>
      </c>
    </row>
    <row r="27" spans="2:11" ht="13.5" outlineLevel="1" thickBot="1" x14ac:dyDescent="0.25">
      <c r="J27" s="33"/>
    </row>
    <row r="28" spans="2:11" ht="12.75" customHeight="1" outlineLevel="1" x14ac:dyDescent="0.2">
      <c r="F28" s="42" t="s">
        <v>25</v>
      </c>
      <c r="G28" s="42"/>
      <c r="H28" s="42"/>
      <c r="I28" s="42"/>
      <c r="J28" s="37">
        <v>0.1</v>
      </c>
    </row>
    <row r="29" spans="2:11" outlineLevel="1" x14ac:dyDescent="0.2"/>
    <row r="30" spans="2:11" outlineLevel="1" x14ac:dyDescent="0.2"/>
    <row r="31" spans="2:11" outlineLevel="1" x14ac:dyDescent="0.2"/>
    <row r="32" spans="2:11" outlineLevel="1" x14ac:dyDescent="0.2"/>
    <row r="33" spans="2:15" outlineLevel="1" x14ac:dyDescent="0.2"/>
    <row r="34" spans="2:15" ht="18.75" x14ac:dyDescent="0.3">
      <c r="B34" s="2" t="s">
        <v>269</v>
      </c>
    </row>
    <row r="35" spans="2:15" outlineLevel="1" x14ac:dyDescent="0.2"/>
    <row r="36" spans="2:15" outlineLevel="1" x14ac:dyDescent="0.2">
      <c r="D36" s="34" t="s">
        <v>263</v>
      </c>
    </row>
    <row r="37" spans="2:15" outlineLevel="1" x14ac:dyDescent="0.2"/>
    <row r="38" spans="2:15" outlineLevel="1" x14ac:dyDescent="0.2">
      <c r="F38" s="7"/>
      <c r="G38" s="42">
        <v>1</v>
      </c>
      <c r="H38" s="42">
        <v>2</v>
      </c>
      <c r="I38" s="42">
        <v>3</v>
      </c>
      <c r="J38" s="42">
        <v>4</v>
      </c>
      <c r="K38" s="42">
        <v>5</v>
      </c>
      <c r="L38" s="42">
        <v>6</v>
      </c>
      <c r="M38" s="42">
        <v>7</v>
      </c>
      <c r="N38" s="42">
        <v>8</v>
      </c>
      <c r="O38" s="42">
        <v>9</v>
      </c>
    </row>
    <row r="39" spans="2:15" outlineLevel="1" x14ac:dyDescent="0.2">
      <c r="F39" s="42">
        <v>1</v>
      </c>
      <c r="G39" s="56">
        <f>$F39*G$38</f>
        <v>1</v>
      </c>
      <c r="H39" s="56">
        <f t="shared" ref="H39:O39" si="3">$F39*H$38</f>
        <v>2</v>
      </c>
      <c r="I39" s="56">
        <f t="shared" si="3"/>
        <v>3</v>
      </c>
      <c r="J39" s="56">
        <f t="shared" si="3"/>
        <v>4</v>
      </c>
      <c r="K39" s="56">
        <f t="shared" si="3"/>
        <v>5</v>
      </c>
      <c r="L39" s="56">
        <f t="shared" si="3"/>
        <v>6</v>
      </c>
      <c r="M39" s="56">
        <f t="shared" si="3"/>
        <v>7</v>
      </c>
      <c r="N39" s="56">
        <f t="shared" si="3"/>
        <v>8</v>
      </c>
      <c r="O39" s="56">
        <f t="shared" si="3"/>
        <v>9</v>
      </c>
    </row>
    <row r="40" spans="2:15" outlineLevel="1" x14ac:dyDescent="0.2">
      <c r="F40" s="42">
        <v>2</v>
      </c>
      <c r="G40" s="56">
        <f t="shared" ref="G40:O44" si="4">$F40*G$38</f>
        <v>2</v>
      </c>
      <c r="H40" s="56">
        <f t="shared" si="4"/>
        <v>4</v>
      </c>
      <c r="I40" s="56">
        <f t="shared" si="4"/>
        <v>6</v>
      </c>
      <c r="J40" s="56">
        <f t="shared" si="4"/>
        <v>8</v>
      </c>
      <c r="K40" s="56">
        <f t="shared" si="4"/>
        <v>10</v>
      </c>
      <c r="L40" s="56">
        <f t="shared" si="4"/>
        <v>12</v>
      </c>
      <c r="M40" s="56">
        <f t="shared" si="4"/>
        <v>14</v>
      </c>
      <c r="N40" s="56">
        <f t="shared" si="4"/>
        <v>16</v>
      </c>
      <c r="O40" s="56">
        <f t="shared" si="4"/>
        <v>18</v>
      </c>
    </row>
    <row r="41" spans="2:15" outlineLevel="1" x14ac:dyDescent="0.2">
      <c r="F41" s="42">
        <v>3</v>
      </c>
      <c r="G41" s="56">
        <f t="shared" si="4"/>
        <v>3</v>
      </c>
      <c r="H41" s="56">
        <f t="shared" si="4"/>
        <v>6</v>
      </c>
      <c r="I41" s="56">
        <f t="shared" si="4"/>
        <v>9</v>
      </c>
      <c r="J41" s="56">
        <f t="shared" si="4"/>
        <v>12</v>
      </c>
      <c r="K41" s="56">
        <f t="shared" si="4"/>
        <v>15</v>
      </c>
      <c r="L41" s="56">
        <f t="shared" si="4"/>
        <v>18</v>
      </c>
      <c r="M41" s="56">
        <f t="shared" si="4"/>
        <v>21</v>
      </c>
      <c r="N41" s="56">
        <f t="shared" si="4"/>
        <v>24</v>
      </c>
      <c r="O41" s="56">
        <f t="shared" si="4"/>
        <v>27</v>
      </c>
    </row>
    <row r="42" spans="2:15" outlineLevel="1" x14ac:dyDescent="0.2">
      <c r="F42" s="42">
        <v>4</v>
      </c>
      <c r="G42" s="56">
        <f t="shared" si="4"/>
        <v>4</v>
      </c>
      <c r="H42" s="56">
        <f t="shared" si="4"/>
        <v>8</v>
      </c>
      <c r="I42" s="56">
        <f t="shared" si="4"/>
        <v>12</v>
      </c>
      <c r="J42" s="56">
        <f t="shared" si="4"/>
        <v>16</v>
      </c>
      <c r="K42" s="56">
        <f t="shared" si="4"/>
        <v>20</v>
      </c>
      <c r="L42" s="56">
        <f t="shared" si="4"/>
        <v>24</v>
      </c>
      <c r="M42" s="56">
        <f t="shared" si="4"/>
        <v>28</v>
      </c>
      <c r="N42" s="56">
        <f t="shared" si="4"/>
        <v>32</v>
      </c>
      <c r="O42" s="56">
        <f t="shared" si="4"/>
        <v>36</v>
      </c>
    </row>
    <row r="43" spans="2:15" outlineLevel="1" x14ac:dyDescent="0.2">
      <c r="F43" s="42">
        <v>5</v>
      </c>
      <c r="G43" s="56">
        <f t="shared" si="4"/>
        <v>5</v>
      </c>
      <c r="H43" s="56">
        <f t="shared" si="4"/>
        <v>10</v>
      </c>
      <c r="I43" s="56">
        <f t="shared" si="4"/>
        <v>15</v>
      </c>
      <c r="J43" s="56">
        <f t="shared" si="4"/>
        <v>20</v>
      </c>
      <c r="K43" s="56">
        <f t="shared" si="4"/>
        <v>25</v>
      </c>
      <c r="L43" s="56">
        <f t="shared" si="4"/>
        <v>30</v>
      </c>
      <c r="M43" s="56">
        <f t="shared" si="4"/>
        <v>35</v>
      </c>
      <c r="N43" s="56">
        <f t="shared" si="4"/>
        <v>40</v>
      </c>
      <c r="O43" s="56">
        <f t="shared" si="4"/>
        <v>45</v>
      </c>
    </row>
    <row r="44" spans="2:15" outlineLevel="1" x14ac:dyDescent="0.2">
      <c r="F44" s="42">
        <v>6</v>
      </c>
      <c r="G44" s="56">
        <f t="shared" si="4"/>
        <v>6</v>
      </c>
      <c r="H44" s="56">
        <f t="shared" si="4"/>
        <v>12</v>
      </c>
      <c r="I44" s="56">
        <f t="shared" si="4"/>
        <v>18</v>
      </c>
      <c r="J44" s="56">
        <f t="shared" si="4"/>
        <v>24</v>
      </c>
      <c r="K44" s="56">
        <f t="shared" si="4"/>
        <v>30</v>
      </c>
      <c r="L44" s="56">
        <f t="shared" si="4"/>
        <v>36</v>
      </c>
      <c r="M44" s="56">
        <f t="shared" si="4"/>
        <v>42</v>
      </c>
      <c r="N44" s="56">
        <f t="shared" si="4"/>
        <v>48</v>
      </c>
      <c r="O44" s="56">
        <f t="shared" si="4"/>
        <v>54</v>
      </c>
    </row>
    <row r="61" spans="2:2" ht="18.75" x14ac:dyDescent="0.3">
      <c r="B61" s="2"/>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CellLocking1A">
                <anchor moveWithCells="1" sizeWithCells="1">
                  <from>
                    <xdr:col>13</xdr:col>
                    <xdr:colOff>676275</xdr:colOff>
                    <xdr:row>9</xdr:row>
                    <xdr:rowOff>0</xdr:rowOff>
                  </from>
                  <to>
                    <xdr:col>16</xdr:col>
                    <xdr:colOff>257175</xdr:colOff>
                    <xdr:row>12</xdr:row>
                    <xdr:rowOff>28575</xdr:rowOff>
                  </to>
                </anchor>
              </controlPr>
            </control>
          </mc:Choice>
        </mc:AlternateContent>
        <mc:AlternateContent xmlns:mc="http://schemas.openxmlformats.org/markup-compatibility/2006">
          <mc:Choice Requires="x14">
            <control shapeId="5123" r:id="rId5" name="Button 3">
              <controlPr defaultSize="0" print="0" autoFill="0" autoPict="0" macro="[0]!ThisWorkbook.CellLocking1B">
                <anchor moveWithCells="1" sizeWithCells="1">
                  <from>
                    <xdr:col>13</xdr:col>
                    <xdr:colOff>676275</xdr:colOff>
                    <xdr:row>23</xdr:row>
                    <xdr:rowOff>0</xdr:rowOff>
                  </from>
                  <to>
                    <xdr:col>16</xdr:col>
                    <xdr:colOff>257175</xdr:colOff>
                    <xdr:row>26</xdr:row>
                    <xdr:rowOff>38100</xdr:rowOff>
                  </to>
                </anchor>
              </controlPr>
            </control>
          </mc:Choice>
        </mc:AlternateContent>
        <mc:AlternateContent xmlns:mc="http://schemas.openxmlformats.org/markup-compatibility/2006">
          <mc:Choice Requires="x14">
            <control shapeId="5124" r:id="rId6" name="Button 4">
              <controlPr defaultSize="0" print="0" autoFill="0" autoPict="0" macro="[0]!ThisWorkbook.CellLocking2A">
                <anchor moveWithCells="1" sizeWithCells="1">
                  <from>
                    <xdr:col>16</xdr:col>
                    <xdr:colOff>76200</xdr:colOff>
                    <xdr:row>36</xdr:row>
                    <xdr:rowOff>28575</xdr:rowOff>
                  </from>
                  <to>
                    <xdr:col>19</xdr:col>
                    <xdr:colOff>209550</xdr:colOff>
                    <xdr:row>39</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sheetPr>
  <dimension ref="A1:O61"/>
  <sheetViews>
    <sheetView showGridLines="0" topLeftCell="A23" workbookViewId="0">
      <selection activeCell="G39" sqref="G39"/>
    </sheetView>
  </sheetViews>
  <sheetFormatPr defaultColWidth="9.1640625" defaultRowHeight="12.75" outlineLevelRow="1" x14ac:dyDescent="0.2"/>
  <cols>
    <col min="1" max="3" width="9.1640625" style="11" customWidth="1"/>
    <col min="4" max="4" width="13.33203125" style="11" customWidth="1"/>
    <col min="5" max="5" width="9.1640625" style="11" customWidth="1"/>
    <col min="6" max="6" width="13.1640625" style="11" customWidth="1"/>
    <col min="7" max="15" width="14" style="11" customWidth="1"/>
    <col min="16" max="16" width="9.1640625" style="11" customWidth="1"/>
    <col min="17" max="16384" width="9.1640625" style="11"/>
  </cols>
  <sheetData>
    <row r="1" spans="1:15" ht="18.75" x14ac:dyDescent="0.3">
      <c r="A1" s="10" t="str">
        <f>Introduction!A1</f>
        <v>Problem Solving with Excel</v>
      </c>
    </row>
    <row r="2" spans="1:15" x14ac:dyDescent="0.2">
      <c r="A2" s="12" t="str">
        <f>Introduction!A2</f>
        <v>Week 1</v>
      </c>
    </row>
    <row r="3" spans="1:15" x14ac:dyDescent="0.2">
      <c r="A3" s="12" t="str">
        <f>Introduction!A3</f>
        <v>Basic Functionality</v>
      </c>
    </row>
    <row r="4" spans="1:15" x14ac:dyDescent="0.2">
      <c r="A4" s="12" t="str">
        <f ca="1">MID(CELL("Filename",I7),SEARCH("]",CELL("Filename",I7),1)+1,100)</f>
        <v>Section 2 - Cell Locking (ANS)</v>
      </c>
    </row>
    <row r="5" spans="1:15" x14ac:dyDescent="0.2">
      <c r="O5" s="13"/>
    </row>
    <row r="7" spans="1:15" ht="18.75" x14ac:dyDescent="0.3">
      <c r="B7" s="2" t="s">
        <v>267</v>
      </c>
    </row>
    <row r="8" spans="1:15" ht="13.5" customHeight="1" outlineLevel="1" x14ac:dyDescent="0.3">
      <c r="B8" s="2"/>
    </row>
    <row r="9" spans="1:15" ht="13.5" customHeight="1" outlineLevel="1" x14ac:dyDescent="0.3">
      <c r="B9" s="2"/>
      <c r="D9" s="34" t="s">
        <v>280</v>
      </c>
    </row>
    <row r="10" spans="1:15" ht="13.5" customHeight="1" outlineLevel="1" x14ac:dyDescent="0.3">
      <c r="B10" s="2"/>
    </row>
    <row r="11" spans="1:15" ht="13.5" outlineLevel="1" thickBot="1" x14ac:dyDescent="0.25">
      <c r="F11" s="42"/>
      <c r="G11" s="42" t="s">
        <v>281</v>
      </c>
      <c r="H11" s="42" t="s">
        <v>282</v>
      </c>
      <c r="I11" s="9"/>
      <c r="J11" s="33"/>
      <c r="K11" s="33"/>
      <c r="L11" s="33"/>
    </row>
    <row r="12" spans="1:15" ht="12.75" customHeight="1" outlineLevel="1" x14ac:dyDescent="0.2">
      <c r="F12" s="42" t="s">
        <v>15</v>
      </c>
      <c r="G12" s="55">
        <v>100</v>
      </c>
      <c r="H12" s="55">
        <v>350</v>
      </c>
      <c r="I12" s="9"/>
      <c r="J12" s="42" t="s">
        <v>286</v>
      </c>
      <c r="K12" s="42"/>
      <c r="L12" s="37">
        <v>0.05</v>
      </c>
    </row>
    <row r="13" spans="1:15" outlineLevel="1" x14ac:dyDescent="0.2">
      <c r="F13" s="42" t="s">
        <v>16</v>
      </c>
      <c r="G13" s="48">
        <f t="shared" ref="G13:H17" si="0">G12*(1+$L$12)</f>
        <v>105</v>
      </c>
      <c r="H13" s="48">
        <f t="shared" si="0"/>
        <v>367.5</v>
      </c>
      <c r="I13" s="9"/>
      <c r="J13" s="3"/>
      <c r="K13" s="3"/>
    </row>
    <row r="14" spans="1:15" outlineLevel="1" x14ac:dyDescent="0.2">
      <c r="F14" s="42" t="s">
        <v>17</v>
      </c>
      <c r="G14" s="48">
        <f t="shared" si="0"/>
        <v>110.25</v>
      </c>
      <c r="H14" s="48">
        <f t="shared" si="0"/>
        <v>385.875</v>
      </c>
      <c r="I14" s="9"/>
      <c r="J14" s="3"/>
      <c r="K14" s="3"/>
    </row>
    <row r="15" spans="1:15" outlineLevel="1" x14ac:dyDescent="0.2">
      <c r="B15" s="9"/>
      <c r="C15" s="3"/>
      <c r="D15" s="3"/>
      <c r="E15" s="3"/>
      <c r="F15" s="42" t="s">
        <v>18</v>
      </c>
      <c r="G15" s="48">
        <f t="shared" si="0"/>
        <v>115.7625</v>
      </c>
      <c r="H15" s="48">
        <f t="shared" si="0"/>
        <v>405.16875000000005</v>
      </c>
      <c r="I15" s="3"/>
      <c r="J15" s="3"/>
      <c r="K15" s="3"/>
    </row>
    <row r="16" spans="1:15" outlineLevel="1" x14ac:dyDescent="0.2">
      <c r="B16" s="9"/>
      <c r="C16" s="3"/>
      <c r="D16" s="3"/>
      <c r="E16" s="3"/>
      <c r="F16" s="42" t="s">
        <v>19</v>
      </c>
      <c r="G16" s="48">
        <f t="shared" si="0"/>
        <v>121.55062500000001</v>
      </c>
      <c r="H16" s="48">
        <f t="shared" si="0"/>
        <v>425.42718750000006</v>
      </c>
      <c r="I16" s="3"/>
      <c r="J16" s="3"/>
      <c r="K16" s="3"/>
    </row>
    <row r="17" spans="2:11" outlineLevel="1" x14ac:dyDescent="0.2">
      <c r="B17" s="9"/>
      <c r="C17" s="3"/>
      <c r="D17" s="3"/>
      <c r="E17" s="3"/>
      <c r="F17" s="42" t="s">
        <v>23</v>
      </c>
      <c r="G17" s="48">
        <f t="shared" si="0"/>
        <v>127.62815625000002</v>
      </c>
      <c r="H17" s="48">
        <f t="shared" si="0"/>
        <v>446.69854687500009</v>
      </c>
      <c r="I17" s="3"/>
      <c r="J17" s="3"/>
      <c r="K17" s="3"/>
    </row>
    <row r="18" spans="2:11" outlineLevel="1" x14ac:dyDescent="0.2"/>
    <row r="19" spans="2:11" outlineLevel="1" x14ac:dyDescent="0.2"/>
    <row r="20" spans="2:11" outlineLevel="1" x14ac:dyDescent="0.2"/>
    <row r="21" spans="2:11" ht="18.75" x14ac:dyDescent="0.3">
      <c r="B21" s="2" t="s">
        <v>268</v>
      </c>
    </row>
    <row r="22" spans="2:11" ht="13.5" customHeight="1" outlineLevel="1" x14ac:dyDescent="0.3">
      <c r="B22" s="2"/>
    </row>
    <row r="23" spans="2:11" ht="13.5" customHeight="1" outlineLevel="1" x14ac:dyDescent="0.3">
      <c r="B23" s="2"/>
      <c r="D23" s="34" t="s">
        <v>262</v>
      </c>
    </row>
    <row r="24" spans="2:11" ht="13.5" customHeight="1" outlineLevel="1" x14ac:dyDescent="0.3">
      <c r="B24" s="2"/>
      <c r="D24" s="34"/>
    </row>
    <row r="25" spans="2:11" outlineLevel="1" x14ac:dyDescent="0.2">
      <c r="F25" s="42"/>
      <c r="G25" s="54">
        <v>2016</v>
      </c>
      <c r="H25" s="54">
        <v>2017</v>
      </c>
      <c r="I25" s="54">
        <v>2018</v>
      </c>
      <c r="J25" s="54">
        <v>2019</v>
      </c>
      <c r="K25" s="54">
        <v>2020</v>
      </c>
    </row>
    <row r="26" spans="2:11" outlineLevel="1" x14ac:dyDescent="0.2">
      <c r="F26" s="42" t="s">
        <v>21</v>
      </c>
      <c r="G26" s="35">
        <v>5000</v>
      </c>
      <c r="H26" s="53">
        <f>G26*(1-$J$28)</f>
        <v>4500</v>
      </c>
      <c r="I26" s="53">
        <f>H26*(1-$J$28)</f>
        <v>4050</v>
      </c>
      <c r="J26" s="53">
        <f>I26*(1-$J$28)</f>
        <v>3645</v>
      </c>
      <c r="K26" s="53">
        <f>J26*(1-$J$28)</f>
        <v>3280.5</v>
      </c>
    </row>
    <row r="27" spans="2:11" ht="13.5" outlineLevel="1" thickBot="1" x14ac:dyDescent="0.25">
      <c r="J27" s="33"/>
    </row>
    <row r="28" spans="2:11" ht="12.75" customHeight="1" outlineLevel="1" x14ac:dyDescent="0.2">
      <c r="F28" s="42" t="s">
        <v>25</v>
      </c>
      <c r="G28" s="42"/>
      <c r="H28" s="42"/>
      <c r="I28" s="42"/>
      <c r="J28" s="37">
        <v>0.1</v>
      </c>
    </row>
    <row r="29" spans="2:11" outlineLevel="1" x14ac:dyDescent="0.2"/>
    <row r="30" spans="2:11" outlineLevel="1" x14ac:dyDescent="0.2"/>
    <row r="31" spans="2:11" outlineLevel="1" x14ac:dyDescent="0.2"/>
    <row r="32" spans="2:11" outlineLevel="1" x14ac:dyDescent="0.2"/>
    <row r="33" spans="2:15" outlineLevel="1" x14ac:dyDescent="0.2"/>
    <row r="34" spans="2:15" ht="18.75" x14ac:dyDescent="0.3">
      <c r="B34" s="2" t="s">
        <v>269</v>
      </c>
    </row>
    <row r="35" spans="2:15" outlineLevel="1" x14ac:dyDescent="0.2"/>
    <row r="36" spans="2:15" outlineLevel="1" x14ac:dyDescent="0.2">
      <c r="D36" s="34" t="s">
        <v>263</v>
      </c>
    </row>
    <row r="37" spans="2:15" outlineLevel="1" x14ac:dyDescent="0.2"/>
    <row r="38" spans="2:15" outlineLevel="1" x14ac:dyDescent="0.2">
      <c r="F38" s="7"/>
      <c r="G38" s="42">
        <v>1</v>
      </c>
      <c r="H38" s="42">
        <v>2</v>
      </c>
      <c r="I38" s="42">
        <v>3</v>
      </c>
      <c r="J38" s="42">
        <v>4</v>
      </c>
      <c r="K38" s="42">
        <v>5</v>
      </c>
      <c r="L38" s="42">
        <v>6</v>
      </c>
      <c r="M38" s="42">
        <v>7</v>
      </c>
      <c r="N38" s="42">
        <v>8</v>
      </c>
      <c r="O38" s="42">
        <v>9</v>
      </c>
    </row>
    <row r="39" spans="2:15" outlineLevel="1" x14ac:dyDescent="0.2">
      <c r="F39" s="42">
        <v>1</v>
      </c>
      <c r="G39" s="56">
        <f t="shared" ref="G39:O44" si="1">$F39*G$38</f>
        <v>1</v>
      </c>
      <c r="H39" s="56">
        <f t="shared" si="1"/>
        <v>2</v>
      </c>
      <c r="I39" s="56">
        <f t="shared" si="1"/>
        <v>3</v>
      </c>
      <c r="J39" s="56">
        <f t="shared" si="1"/>
        <v>4</v>
      </c>
      <c r="K39" s="56">
        <f t="shared" si="1"/>
        <v>5</v>
      </c>
      <c r="L39" s="56">
        <f t="shared" si="1"/>
        <v>6</v>
      </c>
      <c r="M39" s="56">
        <f t="shared" si="1"/>
        <v>7</v>
      </c>
      <c r="N39" s="56">
        <f t="shared" si="1"/>
        <v>8</v>
      </c>
      <c r="O39" s="56">
        <f t="shared" si="1"/>
        <v>9</v>
      </c>
    </row>
    <row r="40" spans="2:15" outlineLevel="1" x14ac:dyDescent="0.2">
      <c r="F40" s="42">
        <v>2</v>
      </c>
      <c r="G40" s="56">
        <f t="shared" si="1"/>
        <v>2</v>
      </c>
      <c r="H40" s="56">
        <f t="shared" si="1"/>
        <v>4</v>
      </c>
      <c r="I40" s="56">
        <f t="shared" si="1"/>
        <v>6</v>
      </c>
      <c r="J40" s="56">
        <f t="shared" si="1"/>
        <v>8</v>
      </c>
      <c r="K40" s="56">
        <f t="shared" si="1"/>
        <v>10</v>
      </c>
      <c r="L40" s="56">
        <f t="shared" si="1"/>
        <v>12</v>
      </c>
      <c r="M40" s="56">
        <f t="shared" si="1"/>
        <v>14</v>
      </c>
      <c r="N40" s="56">
        <f t="shared" si="1"/>
        <v>16</v>
      </c>
      <c r="O40" s="56">
        <f t="shared" si="1"/>
        <v>18</v>
      </c>
    </row>
    <row r="41" spans="2:15" outlineLevel="1" x14ac:dyDescent="0.2">
      <c r="F41" s="42">
        <v>3</v>
      </c>
      <c r="G41" s="56">
        <f t="shared" si="1"/>
        <v>3</v>
      </c>
      <c r="H41" s="56">
        <f t="shared" si="1"/>
        <v>6</v>
      </c>
      <c r="I41" s="56">
        <f t="shared" si="1"/>
        <v>9</v>
      </c>
      <c r="J41" s="56">
        <f t="shared" si="1"/>
        <v>12</v>
      </c>
      <c r="K41" s="56">
        <f t="shared" si="1"/>
        <v>15</v>
      </c>
      <c r="L41" s="56">
        <f t="shared" si="1"/>
        <v>18</v>
      </c>
      <c r="M41" s="56">
        <f t="shared" si="1"/>
        <v>21</v>
      </c>
      <c r="N41" s="56">
        <f t="shared" si="1"/>
        <v>24</v>
      </c>
      <c r="O41" s="56">
        <f t="shared" si="1"/>
        <v>27</v>
      </c>
    </row>
    <row r="42" spans="2:15" outlineLevel="1" x14ac:dyDescent="0.2">
      <c r="F42" s="42">
        <v>4</v>
      </c>
      <c r="G42" s="56">
        <f t="shared" si="1"/>
        <v>4</v>
      </c>
      <c r="H42" s="56">
        <f t="shared" si="1"/>
        <v>8</v>
      </c>
      <c r="I42" s="56">
        <f t="shared" si="1"/>
        <v>12</v>
      </c>
      <c r="J42" s="56">
        <f t="shared" si="1"/>
        <v>16</v>
      </c>
      <c r="K42" s="56">
        <f t="shared" si="1"/>
        <v>20</v>
      </c>
      <c r="L42" s="56">
        <f t="shared" si="1"/>
        <v>24</v>
      </c>
      <c r="M42" s="56">
        <f t="shared" si="1"/>
        <v>28</v>
      </c>
      <c r="N42" s="56">
        <f t="shared" si="1"/>
        <v>32</v>
      </c>
      <c r="O42" s="56">
        <f t="shared" si="1"/>
        <v>36</v>
      </c>
    </row>
    <row r="43" spans="2:15" outlineLevel="1" x14ac:dyDescent="0.2">
      <c r="F43" s="42">
        <v>5</v>
      </c>
      <c r="G43" s="56">
        <f t="shared" si="1"/>
        <v>5</v>
      </c>
      <c r="H43" s="56">
        <f t="shared" si="1"/>
        <v>10</v>
      </c>
      <c r="I43" s="56">
        <f t="shared" si="1"/>
        <v>15</v>
      </c>
      <c r="J43" s="56">
        <f t="shared" si="1"/>
        <v>20</v>
      </c>
      <c r="K43" s="56">
        <f t="shared" si="1"/>
        <v>25</v>
      </c>
      <c r="L43" s="56">
        <f t="shared" si="1"/>
        <v>30</v>
      </c>
      <c r="M43" s="56">
        <f t="shared" si="1"/>
        <v>35</v>
      </c>
      <c r="N43" s="56">
        <f t="shared" si="1"/>
        <v>40</v>
      </c>
      <c r="O43" s="56">
        <f t="shared" si="1"/>
        <v>45</v>
      </c>
    </row>
    <row r="44" spans="2:15" outlineLevel="1" x14ac:dyDescent="0.2">
      <c r="F44" s="42">
        <v>6</v>
      </c>
      <c r="G44" s="56">
        <f t="shared" si="1"/>
        <v>6</v>
      </c>
      <c r="H44" s="56">
        <f t="shared" si="1"/>
        <v>12</v>
      </c>
      <c r="I44" s="56">
        <f t="shared" si="1"/>
        <v>18</v>
      </c>
      <c r="J44" s="56">
        <f t="shared" si="1"/>
        <v>24</v>
      </c>
      <c r="K44" s="56">
        <f t="shared" si="1"/>
        <v>30</v>
      </c>
      <c r="L44" s="56">
        <f t="shared" si="1"/>
        <v>36</v>
      </c>
      <c r="M44" s="56">
        <f t="shared" si="1"/>
        <v>42</v>
      </c>
      <c r="N44" s="56">
        <f t="shared" si="1"/>
        <v>48</v>
      </c>
      <c r="O44" s="56">
        <f t="shared" si="1"/>
        <v>54</v>
      </c>
    </row>
    <row r="61" spans="2:2" ht="18.75" x14ac:dyDescent="0.3">
      <c r="B61" s="2"/>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GBCellLocking2A">
                <anchor moveWithCells="1" sizeWithCells="1">
                  <from>
                    <xdr:col>13</xdr:col>
                    <xdr:colOff>66675</xdr:colOff>
                    <xdr:row>8</xdr:row>
                    <xdr:rowOff>152400</xdr:rowOff>
                  </from>
                  <to>
                    <xdr:col>15</xdr:col>
                    <xdr:colOff>180975</xdr:colOff>
                    <xdr:row>12</xdr:row>
                    <xdr:rowOff>0</xdr:rowOff>
                  </to>
                </anchor>
              </controlPr>
            </control>
          </mc:Choice>
        </mc:AlternateContent>
        <mc:AlternateContent xmlns:mc="http://schemas.openxmlformats.org/markup-compatibility/2006">
          <mc:Choice Requires="x14">
            <control shapeId="6146" r:id="rId5" name="Button 2">
              <controlPr defaultSize="0" print="0" autoFill="0" autoPict="0" macro="[0]!ThisWorkbook.GBCellLocking2A">
                <anchor moveWithCells="1" sizeWithCells="1">
                  <from>
                    <xdr:col>13</xdr:col>
                    <xdr:colOff>66675</xdr:colOff>
                    <xdr:row>23</xdr:row>
                    <xdr:rowOff>152400</xdr:rowOff>
                  </from>
                  <to>
                    <xdr:col>15</xdr:col>
                    <xdr:colOff>180975</xdr:colOff>
                    <xdr:row>27</xdr:row>
                    <xdr:rowOff>19050</xdr:rowOff>
                  </to>
                </anchor>
              </controlPr>
            </control>
          </mc:Choice>
        </mc:AlternateContent>
        <mc:AlternateContent xmlns:mc="http://schemas.openxmlformats.org/markup-compatibility/2006">
          <mc:Choice Requires="x14">
            <control shapeId="6147" r:id="rId6" name="Button 3">
              <controlPr defaultSize="0" print="0" autoFill="0" autoPict="0" macro="[0]!ThisWorkbook.GBCellLocking2A">
                <anchor moveWithCells="1" sizeWithCells="1">
                  <from>
                    <xdr:col>17</xdr:col>
                    <xdr:colOff>66675</xdr:colOff>
                    <xdr:row>35</xdr:row>
                    <xdr:rowOff>152400</xdr:rowOff>
                  </from>
                  <to>
                    <xdr:col>20</xdr:col>
                    <xdr:colOff>190500</xdr:colOff>
                    <xdr:row>39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30"/>
  <sheetViews>
    <sheetView showGridLines="0" tabSelected="1" topLeftCell="D1" workbookViewId="0">
      <selection activeCell="N4" sqref="N4"/>
    </sheetView>
  </sheetViews>
  <sheetFormatPr defaultColWidth="9.1640625" defaultRowHeight="12.75" outlineLevelRow="1" x14ac:dyDescent="0.2"/>
  <cols>
    <col min="1" max="1" width="9.1640625" style="11" customWidth="1"/>
    <col min="2" max="2" width="52" style="11" customWidth="1"/>
    <col min="3" max="3" width="25" style="11" customWidth="1"/>
    <col min="4" max="4" width="38.1640625" style="11" bestFit="1" customWidth="1"/>
    <col min="5" max="5" width="11" style="11" bestFit="1" customWidth="1"/>
    <col min="6" max="6" width="34" style="11" bestFit="1" customWidth="1"/>
    <col min="7" max="7" width="10.6640625" style="11" bestFit="1" customWidth="1"/>
    <col min="8" max="8" width="12.6640625" style="11" bestFit="1" customWidth="1"/>
    <col min="9" max="9" width="8.6640625" style="11" bestFit="1" customWidth="1"/>
    <col min="10" max="10" width="16.1640625" style="11" customWidth="1"/>
    <col min="11" max="11" width="9" style="11" bestFit="1" customWidth="1"/>
    <col min="12" max="12" width="18" style="11" customWidth="1"/>
    <col min="13" max="13" width="9.1640625" style="11" customWidth="1"/>
    <col min="14" max="16384" width="9.1640625" style="11"/>
  </cols>
  <sheetData>
    <row r="1" spans="1:16" ht="18.75" x14ac:dyDescent="0.3">
      <c r="A1" s="10" t="s">
        <v>1</v>
      </c>
    </row>
    <row r="2" spans="1:16" x14ac:dyDescent="0.2">
      <c r="A2" s="12" t="s">
        <v>0</v>
      </c>
    </row>
    <row r="3" spans="1:16" x14ac:dyDescent="0.2">
      <c r="A3" s="12" t="str">
        <f>Introduction!A3</f>
        <v>Basic Functionality</v>
      </c>
    </row>
    <row r="4" spans="1:16" x14ac:dyDescent="0.2">
      <c r="A4" s="12" t="str">
        <f ca="1">MID(CELL("Filename",I7),SEARCH("]",CELL("Filename",I7),1)+1,100)</f>
        <v>Section 3 - Named Ranges</v>
      </c>
    </row>
    <row r="5" spans="1:16" x14ac:dyDescent="0.2">
      <c r="P5" s="13"/>
    </row>
    <row r="7" spans="1:16" ht="18.75" x14ac:dyDescent="0.3">
      <c r="B7" s="2" t="s">
        <v>265</v>
      </c>
    </row>
    <row r="8" spans="1:16" outlineLevel="1" x14ac:dyDescent="0.2"/>
    <row r="9" spans="1:16" ht="25.5" outlineLevel="1" x14ac:dyDescent="0.2">
      <c r="B9" s="14" t="s">
        <v>26</v>
      </c>
      <c r="C9" s="14" t="s">
        <v>27</v>
      </c>
      <c r="D9" s="14" t="s">
        <v>28</v>
      </c>
      <c r="E9" s="14" t="s">
        <v>29</v>
      </c>
      <c r="F9" s="14" t="s">
        <v>30</v>
      </c>
      <c r="G9" s="15" t="s">
        <v>31</v>
      </c>
      <c r="H9" s="15" t="s">
        <v>32</v>
      </c>
      <c r="I9" s="16" t="s">
        <v>33</v>
      </c>
      <c r="J9" s="17" t="s">
        <v>34</v>
      </c>
      <c r="K9" s="18" t="s">
        <v>35</v>
      </c>
      <c r="L9" s="18" t="s">
        <v>20</v>
      </c>
    </row>
    <row r="10" spans="1:16" outlineLevel="1" x14ac:dyDescent="0.2">
      <c r="B10" s="19">
        <v>23345</v>
      </c>
      <c r="C10" s="19" t="s">
        <v>36</v>
      </c>
      <c r="D10" s="19" t="s">
        <v>37</v>
      </c>
      <c r="E10" s="19" t="s">
        <v>38</v>
      </c>
      <c r="F10" s="20" t="s">
        <v>248</v>
      </c>
      <c r="G10" s="19" t="s">
        <v>39</v>
      </c>
      <c r="H10" s="21">
        <v>41150</v>
      </c>
      <c r="I10" s="22">
        <f t="shared" ref="I10:I41" si="0">VALUE(MONTH(H10))</f>
        <v>8</v>
      </c>
      <c r="J10" s="23">
        <v>208</v>
      </c>
      <c r="K10" s="24">
        <v>14.5</v>
      </c>
      <c r="L10" s="25">
        <f t="shared" ref="L10:L41" si="1">K10*J10</f>
        <v>3016</v>
      </c>
    </row>
    <row r="11" spans="1:16" outlineLevel="1" x14ac:dyDescent="0.2">
      <c r="B11" s="19">
        <v>23278</v>
      </c>
      <c r="C11" s="19" t="s">
        <v>40</v>
      </c>
      <c r="D11" s="19" t="s">
        <v>41</v>
      </c>
      <c r="E11" s="19" t="s">
        <v>38</v>
      </c>
      <c r="F11" s="20" t="s">
        <v>248</v>
      </c>
      <c r="G11" s="19" t="s">
        <v>42</v>
      </c>
      <c r="H11" s="21">
        <v>41145</v>
      </c>
      <c r="I11" s="22">
        <f t="shared" si="0"/>
        <v>8</v>
      </c>
      <c r="J11" s="23">
        <v>197</v>
      </c>
      <c r="K11" s="24">
        <v>14.5</v>
      </c>
      <c r="L11" s="25">
        <f t="shared" si="1"/>
        <v>2856.5</v>
      </c>
    </row>
    <row r="12" spans="1:16" outlineLevel="1" x14ac:dyDescent="0.2">
      <c r="B12" s="19">
        <v>23303</v>
      </c>
      <c r="C12" s="19" t="s">
        <v>43</v>
      </c>
      <c r="D12" s="26" t="s">
        <v>44</v>
      </c>
      <c r="E12" s="26" t="s">
        <v>38</v>
      </c>
      <c r="F12" s="27" t="s">
        <v>248</v>
      </c>
      <c r="G12" s="19" t="s">
        <v>45</v>
      </c>
      <c r="H12" s="21">
        <v>41138</v>
      </c>
      <c r="I12" s="22">
        <f t="shared" si="0"/>
        <v>8</v>
      </c>
      <c r="J12" s="23">
        <v>176</v>
      </c>
      <c r="K12" s="24">
        <v>14.5</v>
      </c>
      <c r="L12" s="25">
        <f t="shared" si="1"/>
        <v>2552</v>
      </c>
    </row>
    <row r="13" spans="1:16" outlineLevel="1" x14ac:dyDescent="0.2">
      <c r="B13" s="28">
        <v>23353</v>
      </c>
      <c r="C13" s="28" t="s">
        <v>46</v>
      </c>
      <c r="D13" s="29" t="s">
        <v>47</v>
      </c>
      <c r="E13" s="29" t="s">
        <v>38</v>
      </c>
      <c r="F13" s="30" t="s">
        <v>248</v>
      </c>
      <c r="G13" s="19" t="s">
        <v>42</v>
      </c>
      <c r="H13" s="21">
        <v>41070</v>
      </c>
      <c r="I13" s="22">
        <f t="shared" si="0"/>
        <v>6</v>
      </c>
      <c r="J13" s="23">
        <v>168</v>
      </c>
      <c r="K13" s="24">
        <v>14.5</v>
      </c>
      <c r="L13" s="25">
        <f t="shared" si="1"/>
        <v>2436</v>
      </c>
    </row>
    <row r="14" spans="1:16" outlineLevel="1" x14ac:dyDescent="0.2">
      <c r="B14" s="19">
        <v>23289</v>
      </c>
      <c r="C14" s="19" t="s">
        <v>48</v>
      </c>
      <c r="D14" s="26" t="s">
        <v>49</v>
      </c>
      <c r="E14" s="26" t="s">
        <v>38</v>
      </c>
      <c r="F14" s="27" t="s">
        <v>248</v>
      </c>
      <c r="G14" s="19" t="s">
        <v>45</v>
      </c>
      <c r="H14" s="21">
        <v>41123</v>
      </c>
      <c r="I14" s="22">
        <f t="shared" si="0"/>
        <v>8</v>
      </c>
      <c r="J14" s="23">
        <v>166</v>
      </c>
      <c r="K14" s="24">
        <v>14.5</v>
      </c>
      <c r="L14" s="25">
        <f t="shared" si="1"/>
        <v>2407</v>
      </c>
    </row>
    <row r="15" spans="1:16" outlineLevel="1" x14ac:dyDescent="0.2">
      <c r="B15" s="19">
        <v>23378</v>
      </c>
      <c r="C15" s="19" t="s">
        <v>50</v>
      </c>
      <c r="D15" s="26" t="s">
        <v>51</v>
      </c>
      <c r="E15" s="26" t="s">
        <v>38</v>
      </c>
      <c r="F15" s="27" t="s">
        <v>248</v>
      </c>
      <c r="G15" s="19" t="s">
        <v>39</v>
      </c>
      <c r="H15" s="21">
        <v>41078</v>
      </c>
      <c r="I15" s="22">
        <f t="shared" si="0"/>
        <v>6</v>
      </c>
      <c r="J15" s="23">
        <v>157</v>
      </c>
      <c r="K15" s="24">
        <v>14.5</v>
      </c>
      <c r="L15" s="25">
        <f t="shared" si="1"/>
        <v>2276.5</v>
      </c>
    </row>
    <row r="16" spans="1:16" outlineLevel="1" x14ac:dyDescent="0.2">
      <c r="B16" s="19">
        <v>23283</v>
      </c>
      <c r="C16" s="19" t="s">
        <v>52</v>
      </c>
      <c r="D16" s="26" t="s">
        <v>53</v>
      </c>
      <c r="E16" s="26" t="s">
        <v>38</v>
      </c>
      <c r="F16" s="27" t="s">
        <v>248</v>
      </c>
      <c r="G16" s="19" t="s">
        <v>39</v>
      </c>
      <c r="H16" s="21">
        <v>41084</v>
      </c>
      <c r="I16" s="22">
        <f t="shared" si="0"/>
        <v>6</v>
      </c>
      <c r="J16" s="23">
        <v>142</v>
      </c>
      <c r="K16" s="24">
        <v>14.5</v>
      </c>
      <c r="L16" s="25">
        <f t="shared" si="1"/>
        <v>2059</v>
      </c>
    </row>
    <row r="17" spans="2:12" outlineLevel="1" x14ac:dyDescent="0.2">
      <c r="B17" s="31">
        <v>23324</v>
      </c>
      <c r="C17" s="31" t="s">
        <v>54</v>
      </c>
      <c r="D17" s="31" t="s">
        <v>55</v>
      </c>
      <c r="E17" s="31" t="s">
        <v>56</v>
      </c>
      <c r="F17" s="32" t="s">
        <v>249</v>
      </c>
      <c r="G17" s="19" t="s">
        <v>45</v>
      </c>
      <c r="H17" s="21">
        <v>41134</v>
      </c>
      <c r="I17" s="22">
        <f t="shared" si="0"/>
        <v>8</v>
      </c>
      <c r="J17" s="23">
        <v>193</v>
      </c>
      <c r="K17" s="24">
        <v>9.99</v>
      </c>
      <c r="L17" s="25">
        <f t="shared" si="1"/>
        <v>1928.07</v>
      </c>
    </row>
    <row r="18" spans="2:12" outlineLevel="1" x14ac:dyDescent="0.2">
      <c r="B18" s="19">
        <v>23264</v>
      </c>
      <c r="C18" s="19" t="s">
        <v>57</v>
      </c>
      <c r="D18" s="26" t="s">
        <v>58</v>
      </c>
      <c r="E18" s="26" t="s">
        <v>59</v>
      </c>
      <c r="F18" s="27" t="s">
        <v>250</v>
      </c>
      <c r="G18" s="19" t="s">
        <v>39</v>
      </c>
      <c r="H18" s="21">
        <v>41139</v>
      </c>
      <c r="I18" s="22">
        <f t="shared" si="0"/>
        <v>8</v>
      </c>
      <c r="J18" s="23">
        <v>205</v>
      </c>
      <c r="K18" s="24">
        <v>9</v>
      </c>
      <c r="L18" s="25">
        <f t="shared" si="1"/>
        <v>1845</v>
      </c>
    </row>
    <row r="19" spans="2:12" outlineLevel="1" x14ac:dyDescent="0.2">
      <c r="B19" s="19">
        <v>23291</v>
      </c>
      <c r="C19" s="19" t="s">
        <v>60</v>
      </c>
      <c r="D19" s="26" t="s">
        <v>61</v>
      </c>
      <c r="E19" s="26" t="s">
        <v>59</v>
      </c>
      <c r="F19" s="27" t="s">
        <v>250</v>
      </c>
      <c r="G19" s="19" t="s">
        <v>45</v>
      </c>
      <c r="H19" s="21">
        <v>41139</v>
      </c>
      <c r="I19" s="22">
        <f t="shared" si="0"/>
        <v>8</v>
      </c>
      <c r="J19" s="23">
        <v>199</v>
      </c>
      <c r="K19" s="24">
        <v>9</v>
      </c>
      <c r="L19" s="25">
        <f t="shared" si="1"/>
        <v>1791</v>
      </c>
    </row>
    <row r="20" spans="2:12" outlineLevel="1" x14ac:dyDescent="0.2">
      <c r="B20" s="19">
        <v>23305</v>
      </c>
      <c r="C20" s="19" t="s">
        <v>62</v>
      </c>
      <c r="D20" s="19" t="s">
        <v>63</v>
      </c>
      <c r="E20" s="19" t="s">
        <v>59</v>
      </c>
      <c r="F20" s="20" t="s">
        <v>250</v>
      </c>
      <c r="G20" s="19" t="s">
        <v>39</v>
      </c>
      <c r="H20" s="21">
        <v>41147</v>
      </c>
      <c r="I20" s="22">
        <f t="shared" si="0"/>
        <v>8</v>
      </c>
      <c r="J20" s="23">
        <v>188</v>
      </c>
      <c r="K20" s="24">
        <v>9</v>
      </c>
      <c r="L20" s="25">
        <f t="shared" si="1"/>
        <v>1692</v>
      </c>
    </row>
    <row r="21" spans="2:12" outlineLevel="1" x14ac:dyDescent="0.2">
      <c r="B21" s="19">
        <v>23350</v>
      </c>
      <c r="C21" s="19" t="s">
        <v>64</v>
      </c>
      <c r="D21" s="19" t="s">
        <v>65</v>
      </c>
      <c r="E21" s="19" t="s">
        <v>59</v>
      </c>
      <c r="F21" s="20" t="s">
        <v>250</v>
      </c>
      <c r="G21" s="19" t="s">
        <v>39</v>
      </c>
      <c r="H21" s="21">
        <v>41085</v>
      </c>
      <c r="I21" s="22">
        <f t="shared" si="0"/>
        <v>6</v>
      </c>
      <c r="J21" s="23">
        <v>188</v>
      </c>
      <c r="K21" s="24">
        <v>9</v>
      </c>
      <c r="L21" s="25">
        <f t="shared" si="1"/>
        <v>1692</v>
      </c>
    </row>
    <row r="22" spans="2:12" outlineLevel="1" x14ac:dyDescent="0.2">
      <c r="B22" s="19">
        <v>23300</v>
      </c>
      <c r="C22" s="19" t="s">
        <v>66</v>
      </c>
      <c r="D22" s="19" t="s">
        <v>67</v>
      </c>
      <c r="E22" s="19" t="s">
        <v>56</v>
      </c>
      <c r="F22" s="20" t="s">
        <v>249</v>
      </c>
      <c r="G22" s="19" t="s">
        <v>39</v>
      </c>
      <c r="H22" s="21">
        <v>40915</v>
      </c>
      <c r="I22" s="22">
        <f t="shared" si="0"/>
        <v>1</v>
      </c>
      <c r="J22" s="23">
        <v>167</v>
      </c>
      <c r="K22" s="24">
        <v>9.99</v>
      </c>
      <c r="L22" s="25">
        <f t="shared" si="1"/>
        <v>1668.33</v>
      </c>
    </row>
    <row r="23" spans="2:12" outlineLevel="1" x14ac:dyDescent="0.2">
      <c r="B23" s="19">
        <v>23348</v>
      </c>
      <c r="C23" s="19" t="s">
        <v>68</v>
      </c>
      <c r="D23" s="19" t="s">
        <v>69</v>
      </c>
      <c r="E23" s="19" t="s">
        <v>56</v>
      </c>
      <c r="F23" s="20" t="s">
        <v>249</v>
      </c>
      <c r="G23" s="19" t="s">
        <v>45</v>
      </c>
      <c r="H23" s="21">
        <v>41146</v>
      </c>
      <c r="I23" s="22">
        <f t="shared" si="0"/>
        <v>8</v>
      </c>
      <c r="J23" s="23">
        <v>163</v>
      </c>
      <c r="K23" s="24">
        <v>9.99</v>
      </c>
      <c r="L23" s="25">
        <f t="shared" si="1"/>
        <v>1628.3700000000001</v>
      </c>
    </row>
    <row r="24" spans="2:12" outlineLevel="1" x14ac:dyDescent="0.2">
      <c r="B24" s="19">
        <v>23290</v>
      </c>
      <c r="C24" s="19" t="s">
        <v>70</v>
      </c>
      <c r="D24" s="19" t="s">
        <v>71</v>
      </c>
      <c r="E24" s="19" t="s">
        <v>59</v>
      </c>
      <c r="F24" s="20" t="s">
        <v>250</v>
      </c>
      <c r="G24" s="19" t="s">
        <v>39</v>
      </c>
      <c r="H24" s="21">
        <v>41132</v>
      </c>
      <c r="I24" s="22">
        <f t="shared" si="0"/>
        <v>8</v>
      </c>
      <c r="J24" s="23">
        <v>170</v>
      </c>
      <c r="K24" s="24">
        <v>9</v>
      </c>
      <c r="L24" s="25">
        <f t="shared" si="1"/>
        <v>1530</v>
      </c>
    </row>
    <row r="25" spans="2:12" outlineLevel="1" x14ac:dyDescent="0.2">
      <c r="B25" s="19">
        <v>23328</v>
      </c>
      <c r="C25" s="19" t="s">
        <v>72</v>
      </c>
      <c r="D25" s="19" t="s">
        <v>73</v>
      </c>
      <c r="E25" s="19" t="s">
        <v>38</v>
      </c>
      <c r="F25" s="20" t="s">
        <v>248</v>
      </c>
      <c r="G25" s="19" t="s">
        <v>45</v>
      </c>
      <c r="H25" s="21">
        <v>40923</v>
      </c>
      <c r="I25" s="22">
        <f t="shared" si="0"/>
        <v>1</v>
      </c>
      <c r="J25" s="23">
        <v>102</v>
      </c>
      <c r="K25" s="24">
        <v>14.5</v>
      </c>
      <c r="L25" s="25">
        <f t="shared" si="1"/>
        <v>1479</v>
      </c>
    </row>
    <row r="26" spans="2:12" outlineLevel="1" x14ac:dyDescent="0.2">
      <c r="B26" s="19">
        <v>23294</v>
      </c>
      <c r="C26" s="19" t="s">
        <v>74</v>
      </c>
      <c r="D26" s="19" t="s">
        <v>75</v>
      </c>
      <c r="E26" s="19" t="s">
        <v>59</v>
      </c>
      <c r="F26" s="20" t="s">
        <v>250</v>
      </c>
      <c r="G26" s="19" t="s">
        <v>45</v>
      </c>
      <c r="H26" s="21">
        <v>41082</v>
      </c>
      <c r="I26" s="22">
        <f t="shared" si="0"/>
        <v>6</v>
      </c>
      <c r="J26" s="23">
        <v>160</v>
      </c>
      <c r="K26" s="24">
        <v>9</v>
      </c>
      <c r="L26" s="25">
        <f t="shared" si="1"/>
        <v>1440</v>
      </c>
    </row>
    <row r="27" spans="2:12" outlineLevel="1" x14ac:dyDescent="0.2">
      <c r="B27" s="19">
        <v>23371</v>
      </c>
      <c r="C27" s="19" t="s">
        <v>76</v>
      </c>
      <c r="D27" s="19" t="s">
        <v>77</v>
      </c>
      <c r="E27" s="19" t="s">
        <v>78</v>
      </c>
      <c r="F27" s="20" t="s">
        <v>251</v>
      </c>
      <c r="G27" s="19" t="s">
        <v>39</v>
      </c>
      <c r="H27" s="21">
        <v>41136</v>
      </c>
      <c r="I27" s="22">
        <f t="shared" si="0"/>
        <v>8</v>
      </c>
      <c r="J27" s="23">
        <v>204</v>
      </c>
      <c r="K27" s="24">
        <v>6.99</v>
      </c>
      <c r="L27" s="25">
        <f t="shared" si="1"/>
        <v>1425.96</v>
      </c>
    </row>
    <row r="28" spans="2:12" outlineLevel="1" x14ac:dyDescent="0.2">
      <c r="B28" s="19">
        <v>23288</v>
      </c>
      <c r="C28" s="19" t="s">
        <v>79</v>
      </c>
      <c r="D28" s="19" t="s">
        <v>80</v>
      </c>
      <c r="E28" s="19" t="s">
        <v>56</v>
      </c>
      <c r="F28" s="20" t="s">
        <v>249</v>
      </c>
      <c r="G28" s="19" t="s">
        <v>42</v>
      </c>
      <c r="H28" s="21">
        <v>41074</v>
      </c>
      <c r="I28" s="22">
        <f t="shared" si="0"/>
        <v>6</v>
      </c>
      <c r="J28" s="23">
        <v>141</v>
      </c>
      <c r="K28" s="24">
        <v>9.99</v>
      </c>
      <c r="L28" s="25">
        <f t="shared" si="1"/>
        <v>1408.59</v>
      </c>
    </row>
    <row r="29" spans="2:12" outlineLevel="1" x14ac:dyDescent="0.2">
      <c r="B29" s="19">
        <v>23347</v>
      </c>
      <c r="C29" s="19" t="s">
        <v>81</v>
      </c>
      <c r="D29" s="19" t="s">
        <v>82</v>
      </c>
      <c r="E29" s="19" t="s">
        <v>59</v>
      </c>
      <c r="F29" s="20" t="s">
        <v>250</v>
      </c>
      <c r="G29" s="19" t="s">
        <v>39</v>
      </c>
      <c r="H29" s="21">
        <v>41088</v>
      </c>
      <c r="I29" s="22">
        <f t="shared" si="0"/>
        <v>6</v>
      </c>
      <c r="J29" s="23">
        <v>147</v>
      </c>
      <c r="K29" s="24">
        <v>9</v>
      </c>
      <c r="L29" s="25">
        <f t="shared" si="1"/>
        <v>1323</v>
      </c>
    </row>
    <row r="30" spans="2:12" outlineLevel="1" x14ac:dyDescent="0.2">
      <c r="B30" s="19">
        <v>23361</v>
      </c>
      <c r="C30" s="19" t="s">
        <v>83</v>
      </c>
      <c r="D30" s="19" t="s">
        <v>84</v>
      </c>
      <c r="E30" s="19" t="s">
        <v>78</v>
      </c>
      <c r="F30" s="20" t="s">
        <v>251</v>
      </c>
      <c r="G30" s="19" t="s">
        <v>39</v>
      </c>
      <c r="H30" s="21">
        <v>40915</v>
      </c>
      <c r="I30" s="22">
        <f t="shared" si="0"/>
        <v>1</v>
      </c>
      <c r="J30" s="23">
        <v>184</v>
      </c>
      <c r="K30" s="24">
        <v>6.99</v>
      </c>
      <c r="L30" s="25">
        <f t="shared" si="1"/>
        <v>1286.1600000000001</v>
      </c>
    </row>
    <row r="31" spans="2:12" outlineLevel="1" x14ac:dyDescent="0.2">
      <c r="B31" s="19">
        <v>23275</v>
      </c>
      <c r="C31" s="19" t="s">
        <v>85</v>
      </c>
      <c r="D31" s="19" t="s">
        <v>86</v>
      </c>
      <c r="E31" s="19" t="s">
        <v>59</v>
      </c>
      <c r="F31" s="20" t="s">
        <v>250</v>
      </c>
      <c r="G31" s="19" t="s">
        <v>45</v>
      </c>
      <c r="H31" s="21">
        <v>40912</v>
      </c>
      <c r="I31" s="22">
        <f t="shared" si="0"/>
        <v>1</v>
      </c>
      <c r="J31" s="23">
        <v>141</v>
      </c>
      <c r="K31" s="24">
        <v>9</v>
      </c>
      <c r="L31" s="25">
        <f t="shared" si="1"/>
        <v>1269</v>
      </c>
    </row>
    <row r="32" spans="2:12" outlineLevel="1" x14ac:dyDescent="0.2">
      <c r="B32" s="19">
        <v>23297</v>
      </c>
      <c r="C32" s="19" t="s">
        <v>87</v>
      </c>
      <c r="D32" s="19" t="s">
        <v>88</v>
      </c>
      <c r="E32" s="19" t="s">
        <v>59</v>
      </c>
      <c r="F32" s="20" t="s">
        <v>250</v>
      </c>
      <c r="G32" s="19" t="s">
        <v>39</v>
      </c>
      <c r="H32" s="21">
        <v>41133</v>
      </c>
      <c r="I32" s="22">
        <f t="shared" si="0"/>
        <v>8</v>
      </c>
      <c r="J32" s="23">
        <v>135</v>
      </c>
      <c r="K32" s="24">
        <v>9</v>
      </c>
      <c r="L32" s="25">
        <f t="shared" si="1"/>
        <v>1215</v>
      </c>
    </row>
    <row r="33" spans="2:12" outlineLevel="1" x14ac:dyDescent="0.2">
      <c r="B33" s="19">
        <v>23327</v>
      </c>
      <c r="C33" s="19" t="s">
        <v>89</v>
      </c>
      <c r="D33" s="19" t="s">
        <v>90</v>
      </c>
      <c r="E33" s="19" t="s">
        <v>91</v>
      </c>
      <c r="F33" s="20" t="s">
        <v>252</v>
      </c>
      <c r="G33" s="19" t="s">
        <v>45</v>
      </c>
      <c r="H33" s="21">
        <v>40939</v>
      </c>
      <c r="I33" s="22">
        <f t="shared" si="0"/>
        <v>1</v>
      </c>
      <c r="J33" s="23">
        <v>176</v>
      </c>
      <c r="K33" s="24">
        <v>6.5</v>
      </c>
      <c r="L33" s="25">
        <f t="shared" si="1"/>
        <v>1144</v>
      </c>
    </row>
    <row r="34" spans="2:12" outlineLevel="1" x14ac:dyDescent="0.2">
      <c r="B34" s="19">
        <v>23325</v>
      </c>
      <c r="C34" s="19" t="s">
        <v>92</v>
      </c>
      <c r="D34" s="19" t="s">
        <v>93</v>
      </c>
      <c r="E34" s="19" t="s">
        <v>94</v>
      </c>
      <c r="F34" s="20" t="s">
        <v>253</v>
      </c>
      <c r="G34" s="19" t="s">
        <v>45</v>
      </c>
      <c r="H34" s="21">
        <v>41082</v>
      </c>
      <c r="I34" s="22">
        <f t="shared" si="0"/>
        <v>6</v>
      </c>
      <c r="J34" s="23">
        <v>184</v>
      </c>
      <c r="K34" s="24">
        <v>6</v>
      </c>
      <c r="L34" s="25">
        <f t="shared" si="1"/>
        <v>1104</v>
      </c>
    </row>
    <row r="35" spans="2:12" outlineLevel="1" x14ac:dyDescent="0.2">
      <c r="B35" s="19">
        <v>23292</v>
      </c>
      <c r="C35" s="19" t="s">
        <v>95</v>
      </c>
      <c r="D35" s="19" t="s">
        <v>96</v>
      </c>
      <c r="E35" s="19" t="s">
        <v>38</v>
      </c>
      <c r="F35" s="20" t="s">
        <v>248</v>
      </c>
      <c r="G35" s="19" t="s">
        <v>39</v>
      </c>
      <c r="H35" s="21">
        <v>40911</v>
      </c>
      <c r="I35" s="22">
        <f t="shared" si="0"/>
        <v>1</v>
      </c>
      <c r="J35" s="23">
        <v>73</v>
      </c>
      <c r="K35" s="24">
        <v>14.5</v>
      </c>
      <c r="L35" s="25">
        <f t="shared" si="1"/>
        <v>1058.5</v>
      </c>
    </row>
    <row r="36" spans="2:12" outlineLevel="1" x14ac:dyDescent="0.2">
      <c r="B36" s="19">
        <v>23335</v>
      </c>
      <c r="C36" s="19" t="s">
        <v>97</v>
      </c>
      <c r="D36" s="19" t="s">
        <v>98</v>
      </c>
      <c r="E36" s="19" t="s">
        <v>59</v>
      </c>
      <c r="F36" s="20" t="s">
        <v>250</v>
      </c>
      <c r="G36" s="19" t="s">
        <v>39</v>
      </c>
      <c r="H36" s="21">
        <v>41134</v>
      </c>
      <c r="I36" s="22">
        <f t="shared" si="0"/>
        <v>8</v>
      </c>
      <c r="J36" s="23">
        <v>116</v>
      </c>
      <c r="K36" s="24">
        <v>9</v>
      </c>
      <c r="L36" s="25">
        <f t="shared" si="1"/>
        <v>1044</v>
      </c>
    </row>
    <row r="37" spans="2:12" outlineLevel="1" x14ac:dyDescent="0.2">
      <c r="B37" s="19">
        <v>23314</v>
      </c>
      <c r="C37" s="19" t="s">
        <v>99</v>
      </c>
      <c r="D37" s="19" t="s">
        <v>100</v>
      </c>
      <c r="E37" s="19" t="s">
        <v>56</v>
      </c>
      <c r="F37" s="20" t="s">
        <v>249</v>
      </c>
      <c r="G37" s="19" t="s">
        <v>45</v>
      </c>
      <c r="H37" s="21">
        <v>41131</v>
      </c>
      <c r="I37" s="22">
        <f t="shared" si="0"/>
        <v>8</v>
      </c>
      <c r="J37" s="23">
        <v>95</v>
      </c>
      <c r="K37" s="24">
        <v>9.99</v>
      </c>
      <c r="L37" s="25">
        <f t="shared" si="1"/>
        <v>949.05000000000007</v>
      </c>
    </row>
    <row r="38" spans="2:12" outlineLevel="1" x14ac:dyDescent="0.2">
      <c r="B38" s="19">
        <v>23329</v>
      </c>
      <c r="C38" s="19" t="s">
        <v>101</v>
      </c>
      <c r="D38" s="19" t="s">
        <v>102</v>
      </c>
      <c r="E38" s="19" t="s">
        <v>103</v>
      </c>
      <c r="F38" s="20" t="s">
        <v>254</v>
      </c>
      <c r="G38" s="19" t="s">
        <v>45</v>
      </c>
      <c r="H38" s="21">
        <v>40931</v>
      </c>
      <c r="I38" s="22">
        <f t="shared" si="0"/>
        <v>1</v>
      </c>
      <c r="J38" s="23">
        <v>203</v>
      </c>
      <c r="K38" s="24">
        <v>4.5</v>
      </c>
      <c r="L38" s="25">
        <f t="shared" si="1"/>
        <v>913.5</v>
      </c>
    </row>
    <row r="39" spans="2:12" outlineLevel="1" x14ac:dyDescent="0.2">
      <c r="B39" s="19">
        <v>23332</v>
      </c>
      <c r="C39" s="19" t="s">
        <v>104</v>
      </c>
      <c r="D39" s="19" t="s">
        <v>105</v>
      </c>
      <c r="E39" s="19" t="s">
        <v>103</v>
      </c>
      <c r="F39" s="20" t="s">
        <v>254</v>
      </c>
      <c r="G39" s="19" t="s">
        <v>42</v>
      </c>
      <c r="H39" s="21">
        <v>40950</v>
      </c>
      <c r="I39" s="22">
        <f t="shared" si="0"/>
        <v>2</v>
      </c>
      <c r="J39" s="23">
        <v>203</v>
      </c>
      <c r="K39" s="24">
        <v>4.5</v>
      </c>
      <c r="L39" s="25">
        <f t="shared" si="1"/>
        <v>913.5</v>
      </c>
    </row>
    <row r="40" spans="2:12" outlineLevel="1" x14ac:dyDescent="0.2">
      <c r="B40" s="19">
        <v>23317</v>
      </c>
      <c r="C40" s="19" t="s">
        <v>106</v>
      </c>
      <c r="D40" s="19" t="s">
        <v>107</v>
      </c>
      <c r="E40" s="19" t="s">
        <v>103</v>
      </c>
      <c r="F40" s="20" t="s">
        <v>254</v>
      </c>
      <c r="G40" s="19" t="s">
        <v>42</v>
      </c>
      <c r="H40" s="21">
        <v>40956</v>
      </c>
      <c r="I40" s="22">
        <f t="shared" si="0"/>
        <v>2</v>
      </c>
      <c r="J40" s="23">
        <v>196</v>
      </c>
      <c r="K40" s="24">
        <v>4.5</v>
      </c>
      <c r="L40" s="25">
        <f t="shared" si="1"/>
        <v>882</v>
      </c>
    </row>
    <row r="41" spans="2:12" outlineLevel="1" x14ac:dyDescent="0.2">
      <c r="B41" s="19">
        <v>23271</v>
      </c>
      <c r="C41" s="19" t="s">
        <v>108</v>
      </c>
      <c r="D41" s="19" t="s">
        <v>109</v>
      </c>
      <c r="E41" s="19" t="s">
        <v>78</v>
      </c>
      <c r="F41" s="20" t="s">
        <v>251</v>
      </c>
      <c r="G41" s="19" t="s">
        <v>45</v>
      </c>
      <c r="H41" s="21">
        <v>40966</v>
      </c>
      <c r="I41" s="22">
        <f t="shared" si="0"/>
        <v>2</v>
      </c>
      <c r="J41" s="23">
        <v>125</v>
      </c>
      <c r="K41" s="24">
        <v>6.99</v>
      </c>
      <c r="L41" s="25">
        <f t="shared" si="1"/>
        <v>873.75</v>
      </c>
    </row>
    <row r="42" spans="2:12" outlineLevel="1" x14ac:dyDescent="0.2">
      <c r="B42" s="19">
        <v>23287</v>
      </c>
      <c r="C42" s="19" t="s">
        <v>110</v>
      </c>
      <c r="D42" s="19" t="s">
        <v>111</v>
      </c>
      <c r="E42" s="19" t="s">
        <v>103</v>
      </c>
      <c r="F42" s="20" t="s">
        <v>254</v>
      </c>
      <c r="G42" s="19" t="s">
        <v>45</v>
      </c>
      <c r="H42" s="21">
        <v>41077</v>
      </c>
      <c r="I42" s="22">
        <f t="shared" ref="I42:I73" si="2">VALUE(MONTH(H42))</f>
        <v>6</v>
      </c>
      <c r="J42" s="23">
        <v>189</v>
      </c>
      <c r="K42" s="24">
        <v>4.5</v>
      </c>
      <c r="L42" s="25">
        <f t="shared" ref="L42:L73" si="3">K42*J42</f>
        <v>850.5</v>
      </c>
    </row>
    <row r="43" spans="2:12" outlineLevel="1" x14ac:dyDescent="0.2">
      <c r="B43" s="19">
        <v>23349</v>
      </c>
      <c r="C43" s="19" t="s">
        <v>112</v>
      </c>
      <c r="D43" s="19" t="s">
        <v>113</v>
      </c>
      <c r="E43" s="19" t="s">
        <v>91</v>
      </c>
      <c r="F43" s="20" t="s">
        <v>252</v>
      </c>
      <c r="G43" s="19" t="s">
        <v>45</v>
      </c>
      <c r="H43" s="21">
        <v>41112</v>
      </c>
      <c r="I43" s="22">
        <f t="shared" si="2"/>
        <v>7</v>
      </c>
      <c r="J43" s="23">
        <v>126</v>
      </c>
      <c r="K43" s="24">
        <v>6.5</v>
      </c>
      <c r="L43" s="25">
        <f t="shared" si="3"/>
        <v>819</v>
      </c>
    </row>
    <row r="44" spans="2:12" outlineLevel="1" x14ac:dyDescent="0.2">
      <c r="B44" s="19">
        <v>23309</v>
      </c>
      <c r="C44" s="19" t="s">
        <v>114</v>
      </c>
      <c r="D44" s="19" t="s">
        <v>115</v>
      </c>
      <c r="E44" s="19" t="s">
        <v>116</v>
      </c>
      <c r="F44" s="20" t="s">
        <v>255</v>
      </c>
      <c r="G44" s="19" t="s">
        <v>39</v>
      </c>
      <c r="H44" s="21">
        <v>41083</v>
      </c>
      <c r="I44" s="22">
        <f t="shared" si="2"/>
        <v>6</v>
      </c>
      <c r="J44" s="23">
        <v>201</v>
      </c>
      <c r="K44" s="24">
        <v>3.99</v>
      </c>
      <c r="L44" s="25">
        <f t="shared" si="3"/>
        <v>801.99</v>
      </c>
    </row>
    <row r="45" spans="2:12" outlineLevel="1" x14ac:dyDescent="0.2">
      <c r="B45" s="19">
        <v>23338</v>
      </c>
      <c r="C45" s="19" t="s">
        <v>117</v>
      </c>
      <c r="D45" s="19" t="s">
        <v>118</v>
      </c>
      <c r="E45" s="19" t="s">
        <v>103</v>
      </c>
      <c r="F45" s="20" t="s">
        <v>254</v>
      </c>
      <c r="G45" s="19" t="s">
        <v>45</v>
      </c>
      <c r="H45" s="21">
        <v>41133</v>
      </c>
      <c r="I45" s="22">
        <f t="shared" si="2"/>
        <v>8</v>
      </c>
      <c r="J45" s="23">
        <v>178</v>
      </c>
      <c r="K45" s="24">
        <v>4.5</v>
      </c>
      <c r="L45" s="25">
        <f t="shared" si="3"/>
        <v>801</v>
      </c>
    </row>
    <row r="46" spans="2:12" outlineLevel="1" x14ac:dyDescent="0.2">
      <c r="B46" s="19">
        <v>23301</v>
      </c>
      <c r="C46" s="19" t="s">
        <v>119</v>
      </c>
      <c r="D46" s="19" t="s">
        <v>120</v>
      </c>
      <c r="E46" s="19" t="s">
        <v>78</v>
      </c>
      <c r="F46" s="20" t="s">
        <v>251</v>
      </c>
      <c r="G46" s="19" t="s">
        <v>45</v>
      </c>
      <c r="H46" s="21">
        <v>41109</v>
      </c>
      <c r="I46" s="22">
        <f t="shared" si="2"/>
        <v>7</v>
      </c>
      <c r="J46" s="23">
        <v>108</v>
      </c>
      <c r="K46" s="24">
        <v>6.99</v>
      </c>
      <c r="L46" s="25">
        <f t="shared" si="3"/>
        <v>754.92000000000007</v>
      </c>
    </row>
    <row r="47" spans="2:12" outlineLevel="1" x14ac:dyDescent="0.2">
      <c r="B47" s="19">
        <v>23320</v>
      </c>
      <c r="C47" s="19" t="s">
        <v>121</v>
      </c>
      <c r="D47" s="19" t="s">
        <v>122</v>
      </c>
      <c r="E47" s="19" t="s">
        <v>94</v>
      </c>
      <c r="F47" s="20" t="s">
        <v>253</v>
      </c>
      <c r="G47" s="19" t="s">
        <v>42</v>
      </c>
      <c r="H47" s="21">
        <v>41075</v>
      </c>
      <c r="I47" s="22">
        <f t="shared" si="2"/>
        <v>6</v>
      </c>
      <c r="J47" s="23">
        <v>125</v>
      </c>
      <c r="K47" s="24">
        <v>6</v>
      </c>
      <c r="L47" s="25">
        <f t="shared" si="3"/>
        <v>750</v>
      </c>
    </row>
    <row r="48" spans="2:12" outlineLevel="1" x14ac:dyDescent="0.2">
      <c r="B48" s="19">
        <v>23365</v>
      </c>
      <c r="C48" s="19" t="s">
        <v>123</v>
      </c>
      <c r="D48" s="19" t="s">
        <v>124</v>
      </c>
      <c r="E48" s="19" t="s">
        <v>125</v>
      </c>
      <c r="F48" s="20" t="s">
        <v>256</v>
      </c>
      <c r="G48" s="19" t="s">
        <v>45</v>
      </c>
      <c r="H48" s="21">
        <v>41099</v>
      </c>
      <c r="I48" s="22">
        <f t="shared" si="2"/>
        <v>7</v>
      </c>
      <c r="J48" s="23">
        <v>165</v>
      </c>
      <c r="K48" s="24">
        <v>4.5</v>
      </c>
      <c r="L48" s="25">
        <f t="shared" si="3"/>
        <v>742.5</v>
      </c>
    </row>
    <row r="49" spans="2:12" outlineLevel="1" x14ac:dyDescent="0.2">
      <c r="B49" s="19">
        <v>23302</v>
      </c>
      <c r="C49" s="19" t="s">
        <v>126</v>
      </c>
      <c r="D49" s="19" t="s">
        <v>100</v>
      </c>
      <c r="E49" s="19" t="s">
        <v>127</v>
      </c>
      <c r="F49" s="20" t="s">
        <v>257</v>
      </c>
      <c r="G49" s="19" t="s">
        <v>39</v>
      </c>
      <c r="H49" s="21">
        <v>41117</v>
      </c>
      <c r="I49" s="22">
        <f t="shared" si="2"/>
        <v>7</v>
      </c>
      <c r="J49" s="23">
        <v>105</v>
      </c>
      <c r="K49" s="24">
        <v>6.5</v>
      </c>
      <c r="L49" s="25">
        <f t="shared" si="3"/>
        <v>682.5</v>
      </c>
    </row>
    <row r="50" spans="2:12" outlineLevel="1" x14ac:dyDescent="0.2">
      <c r="B50" s="19">
        <v>23266</v>
      </c>
      <c r="C50" s="19" t="s">
        <v>128</v>
      </c>
      <c r="D50" s="19" t="s">
        <v>129</v>
      </c>
      <c r="E50" s="19" t="s">
        <v>116</v>
      </c>
      <c r="F50" s="20" t="s">
        <v>255</v>
      </c>
      <c r="G50" s="19" t="s">
        <v>39</v>
      </c>
      <c r="H50" s="21">
        <v>41132</v>
      </c>
      <c r="I50" s="22">
        <f t="shared" si="2"/>
        <v>8</v>
      </c>
      <c r="J50" s="23">
        <v>170</v>
      </c>
      <c r="K50" s="24">
        <v>3.99</v>
      </c>
      <c r="L50" s="25">
        <f t="shared" si="3"/>
        <v>678.30000000000007</v>
      </c>
    </row>
    <row r="51" spans="2:12" outlineLevel="1" x14ac:dyDescent="0.2">
      <c r="B51" s="19">
        <v>23307</v>
      </c>
      <c r="C51" s="19" t="s">
        <v>130</v>
      </c>
      <c r="D51" s="19" t="s">
        <v>131</v>
      </c>
      <c r="E51" s="19" t="s">
        <v>94</v>
      </c>
      <c r="F51" s="20" t="s">
        <v>253</v>
      </c>
      <c r="G51" s="19" t="s">
        <v>45</v>
      </c>
      <c r="H51" s="21">
        <v>41094</v>
      </c>
      <c r="I51" s="22">
        <f t="shared" si="2"/>
        <v>7</v>
      </c>
      <c r="J51" s="23">
        <v>113</v>
      </c>
      <c r="K51" s="24">
        <v>6</v>
      </c>
      <c r="L51" s="25">
        <f t="shared" si="3"/>
        <v>678</v>
      </c>
    </row>
    <row r="52" spans="2:12" outlineLevel="1" x14ac:dyDescent="0.2">
      <c r="B52" s="19">
        <v>23368</v>
      </c>
      <c r="C52" s="19" t="s">
        <v>132</v>
      </c>
      <c r="D52" s="19" t="s">
        <v>133</v>
      </c>
      <c r="E52" s="19" t="s">
        <v>125</v>
      </c>
      <c r="F52" s="20" t="s">
        <v>256</v>
      </c>
      <c r="G52" s="19" t="s">
        <v>45</v>
      </c>
      <c r="H52" s="21">
        <v>41146</v>
      </c>
      <c r="I52" s="22">
        <f t="shared" si="2"/>
        <v>8</v>
      </c>
      <c r="J52" s="23">
        <v>150</v>
      </c>
      <c r="K52" s="24">
        <v>4.5</v>
      </c>
      <c r="L52" s="25">
        <f t="shared" si="3"/>
        <v>675</v>
      </c>
    </row>
    <row r="53" spans="2:12" outlineLevel="1" x14ac:dyDescent="0.2">
      <c r="B53" s="19">
        <v>23286</v>
      </c>
      <c r="C53" s="19" t="s">
        <v>134</v>
      </c>
      <c r="D53" s="19" t="s">
        <v>135</v>
      </c>
      <c r="E53" s="19" t="s">
        <v>59</v>
      </c>
      <c r="F53" s="20" t="s">
        <v>250</v>
      </c>
      <c r="G53" s="19" t="s">
        <v>39</v>
      </c>
      <c r="H53" s="21">
        <v>41129</v>
      </c>
      <c r="I53" s="22">
        <f t="shared" si="2"/>
        <v>8</v>
      </c>
      <c r="J53" s="23">
        <v>69</v>
      </c>
      <c r="K53" s="24">
        <v>9</v>
      </c>
      <c r="L53" s="25">
        <f t="shared" si="3"/>
        <v>621</v>
      </c>
    </row>
    <row r="54" spans="2:12" outlineLevel="1" x14ac:dyDescent="0.2">
      <c r="B54" s="19">
        <v>23373</v>
      </c>
      <c r="C54" s="19" t="s">
        <v>136</v>
      </c>
      <c r="D54" s="19" t="s">
        <v>137</v>
      </c>
      <c r="E54" s="19" t="s">
        <v>91</v>
      </c>
      <c r="F54" s="20" t="s">
        <v>252</v>
      </c>
      <c r="G54" s="19" t="s">
        <v>39</v>
      </c>
      <c r="H54" s="21">
        <v>41114</v>
      </c>
      <c r="I54" s="22">
        <f t="shared" si="2"/>
        <v>7</v>
      </c>
      <c r="J54" s="23">
        <v>95</v>
      </c>
      <c r="K54" s="24">
        <v>6.5</v>
      </c>
      <c r="L54" s="25">
        <f t="shared" si="3"/>
        <v>617.5</v>
      </c>
    </row>
    <row r="55" spans="2:12" outlineLevel="1" x14ac:dyDescent="0.2">
      <c r="B55" s="19">
        <v>23380</v>
      </c>
      <c r="C55" s="19" t="s">
        <v>138</v>
      </c>
      <c r="D55" s="19" t="s">
        <v>139</v>
      </c>
      <c r="E55" s="19" t="s">
        <v>127</v>
      </c>
      <c r="F55" s="20" t="s">
        <v>257</v>
      </c>
      <c r="G55" s="19" t="s">
        <v>45</v>
      </c>
      <c r="H55" s="21">
        <v>41112</v>
      </c>
      <c r="I55" s="22">
        <f t="shared" si="2"/>
        <v>7</v>
      </c>
      <c r="J55" s="23">
        <v>95</v>
      </c>
      <c r="K55" s="24">
        <v>6.5</v>
      </c>
      <c r="L55" s="25">
        <f t="shared" si="3"/>
        <v>617.5</v>
      </c>
    </row>
    <row r="56" spans="2:12" outlineLevel="1" x14ac:dyDescent="0.2">
      <c r="B56" s="19">
        <v>23284</v>
      </c>
      <c r="C56" s="19" t="s">
        <v>140</v>
      </c>
      <c r="D56" s="19" t="s">
        <v>141</v>
      </c>
      <c r="E56" s="19" t="s">
        <v>103</v>
      </c>
      <c r="F56" s="20" t="s">
        <v>254</v>
      </c>
      <c r="G56" s="19" t="s">
        <v>45</v>
      </c>
      <c r="H56" s="21">
        <v>41077</v>
      </c>
      <c r="I56" s="22">
        <f t="shared" si="2"/>
        <v>6</v>
      </c>
      <c r="J56" s="23">
        <v>135</v>
      </c>
      <c r="K56" s="24">
        <v>4.5</v>
      </c>
      <c r="L56" s="25">
        <f t="shared" si="3"/>
        <v>607.5</v>
      </c>
    </row>
    <row r="57" spans="2:12" outlineLevel="1" x14ac:dyDescent="0.2">
      <c r="B57" s="19">
        <v>23306</v>
      </c>
      <c r="C57" s="19" t="s">
        <v>142</v>
      </c>
      <c r="D57" s="19" t="s">
        <v>143</v>
      </c>
      <c r="E57" s="19" t="s">
        <v>91</v>
      </c>
      <c r="F57" s="20" t="s">
        <v>252</v>
      </c>
      <c r="G57" s="19" t="s">
        <v>39</v>
      </c>
      <c r="H57" s="21">
        <v>41068</v>
      </c>
      <c r="I57" s="22">
        <f t="shared" si="2"/>
        <v>6</v>
      </c>
      <c r="J57" s="23">
        <v>93</v>
      </c>
      <c r="K57" s="24">
        <v>6.5</v>
      </c>
      <c r="L57" s="25">
        <f t="shared" si="3"/>
        <v>604.5</v>
      </c>
    </row>
    <row r="58" spans="2:12" outlineLevel="1" x14ac:dyDescent="0.2">
      <c r="B58" s="19">
        <v>23281</v>
      </c>
      <c r="C58" s="19" t="s">
        <v>144</v>
      </c>
      <c r="D58" s="19" t="s">
        <v>145</v>
      </c>
      <c r="E58" s="19" t="s">
        <v>125</v>
      </c>
      <c r="F58" s="20" t="s">
        <v>256</v>
      </c>
      <c r="G58" s="19" t="s">
        <v>45</v>
      </c>
      <c r="H58" s="21">
        <v>41103</v>
      </c>
      <c r="I58" s="22">
        <f t="shared" si="2"/>
        <v>7</v>
      </c>
      <c r="J58" s="23">
        <v>134</v>
      </c>
      <c r="K58" s="24">
        <v>4.5</v>
      </c>
      <c r="L58" s="25">
        <f t="shared" si="3"/>
        <v>603</v>
      </c>
    </row>
    <row r="59" spans="2:12" outlineLevel="1" x14ac:dyDescent="0.2">
      <c r="B59" s="19">
        <v>23351</v>
      </c>
      <c r="C59" s="19" t="s">
        <v>146</v>
      </c>
      <c r="D59" s="19" t="s">
        <v>147</v>
      </c>
      <c r="E59" s="19" t="s">
        <v>116</v>
      </c>
      <c r="F59" s="20" t="s">
        <v>255</v>
      </c>
      <c r="G59" s="19" t="s">
        <v>39</v>
      </c>
      <c r="H59" s="21">
        <v>41124</v>
      </c>
      <c r="I59" s="22">
        <f t="shared" si="2"/>
        <v>8</v>
      </c>
      <c r="J59" s="23">
        <v>151</v>
      </c>
      <c r="K59" s="24">
        <v>3.99</v>
      </c>
      <c r="L59" s="25">
        <f t="shared" si="3"/>
        <v>602.49</v>
      </c>
    </row>
    <row r="60" spans="2:12" outlineLevel="1" x14ac:dyDescent="0.2">
      <c r="B60" s="19">
        <v>23282</v>
      </c>
      <c r="C60" s="19" t="s">
        <v>148</v>
      </c>
      <c r="D60" s="19" t="s">
        <v>149</v>
      </c>
      <c r="E60" s="19" t="s">
        <v>94</v>
      </c>
      <c r="F60" s="20" t="s">
        <v>253</v>
      </c>
      <c r="G60" s="19" t="s">
        <v>45</v>
      </c>
      <c r="H60" s="21">
        <v>41142</v>
      </c>
      <c r="I60" s="22">
        <f t="shared" si="2"/>
        <v>8</v>
      </c>
      <c r="J60" s="23">
        <v>100</v>
      </c>
      <c r="K60" s="24">
        <v>6</v>
      </c>
      <c r="L60" s="25">
        <f t="shared" si="3"/>
        <v>600</v>
      </c>
    </row>
    <row r="61" spans="2:12" outlineLevel="1" x14ac:dyDescent="0.2">
      <c r="B61" s="19">
        <v>23376</v>
      </c>
      <c r="C61" s="19" t="s">
        <v>150</v>
      </c>
      <c r="D61" s="19" t="s">
        <v>151</v>
      </c>
      <c r="E61" s="19" t="s">
        <v>78</v>
      </c>
      <c r="F61" s="20" t="s">
        <v>251</v>
      </c>
      <c r="G61" s="19" t="s">
        <v>42</v>
      </c>
      <c r="H61" s="21">
        <v>41113</v>
      </c>
      <c r="I61" s="22">
        <f t="shared" si="2"/>
        <v>7</v>
      </c>
      <c r="J61" s="23">
        <v>85</v>
      </c>
      <c r="K61" s="24">
        <v>6.99</v>
      </c>
      <c r="L61" s="25">
        <f t="shared" si="3"/>
        <v>594.15</v>
      </c>
    </row>
    <row r="62" spans="2:12" outlineLevel="1" x14ac:dyDescent="0.2">
      <c r="B62" s="19">
        <v>23354</v>
      </c>
      <c r="C62" s="19" t="s">
        <v>152</v>
      </c>
      <c r="D62" s="19" t="s">
        <v>153</v>
      </c>
      <c r="E62" s="19" t="s">
        <v>78</v>
      </c>
      <c r="F62" s="20" t="s">
        <v>251</v>
      </c>
      <c r="G62" s="19" t="s">
        <v>39</v>
      </c>
      <c r="H62" s="21">
        <v>41124</v>
      </c>
      <c r="I62" s="22">
        <f t="shared" si="2"/>
        <v>8</v>
      </c>
      <c r="J62" s="23">
        <v>84</v>
      </c>
      <c r="K62" s="24">
        <v>6.99</v>
      </c>
      <c r="L62" s="25">
        <f t="shared" si="3"/>
        <v>587.16</v>
      </c>
    </row>
    <row r="63" spans="2:12" outlineLevel="1" x14ac:dyDescent="0.2">
      <c r="B63" s="19">
        <v>23337</v>
      </c>
      <c r="C63" s="19" t="s">
        <v>154</v>
      </c>
      <c r="D63" s="19" t="s">
        <v>155</v>
      </c>
      <c r="E63" s="19" t="s">
        <v>78</v>
      </c>
      <c r="F63" s="20" t="s">
        <v>251</v>
      </c>
      <c r="G63" s="19" t="s">
        <v>45</v>
      </c>
      <c r="H63" s="21">
        <v>41097</v>
      </c>
      <c r="I63" s="22">
        <f t="shared" si="2"/>
        <v>7</v>
      </c>
      <c r="J63" s="23">
        <v>82</v>
      </c>
      <c r="K63" s="24">
        <v>6.99</v>
      </c>
      <c r="L63" s="25">
        <f t="shared" si="3"/>
        <v>573.18000000000006</v>
      </c>
    </row>
    <row r="64" spans="2:12" outlineLevel="1" x14ac:dyDescent="0.2">
      <c r="B64" s="19">
        <v>23326</v>
      </c>
      <c r="C64" s="19" t="s">
        <v>156</v>
      </c>
      <c r="D64" s="19" t="s">
        <v>157</v>
      </c>
      <c r="E64" s="19" t="s">
        <v>125</v>
      </c>
      <c r="F64" s="20" t="s">
        <v>256</v>
      </c>
      <c r="G64" s="19" t="s">
        <v>45</v>
      </c>
      <c r="H64" s="21">
        <v>41142</v>
      </c>
      <c r="I64" s="22">
        <f t="shared" si="2"/>
        <v>8</v>
      </c>
      <c r="J64" s="23">
        <v>126</v>
      </c>
      <c r="K64" s="24">
        <v>4.5</v>
      </c>
      <c r="L64" s="25">
        <f t="shared" si="3"/>
        <v>567</v>
      </c>
    </row>
    <row r="65" spans="2:12" outlineLevel="1" x14ac:dyDescent="0.2">
      <c r="B65" s="19">
        <v>23316</v>
      </c>
      <c r="C65" s="19" t="s">
        <v>158</v>
      </c>
      <c r="D65" s="19" t="s">
        <v>159</v>
      </c>
      <c r="E65" s="19" t="s">
        <v>116</v>
      </c>
      <c r="F65" s="20" t="s">
        <v>255</v>
      </c>
      <c r="G65" s="19" t="s">
        <v>45</v>
      </c>
      <c r="H65" s="21">
        <v>41061</v>
      </c>
      <c r="I65" s="22">
        <f t="shared" si="2"/>
        <v>6</v>
      </c>
      <c r="J65" s="23">
        <v>137</v>
      </c>
      <c r="K65" s="24">
        <v>3.99</v>
      </c>
      <c r="L65" s="25">
        <f t="shared" si="3"/>
        <v>546.63</v>
      </c>
    </row>
    <row r="66" spans="2:12" outlineLevel="1" x14ac:dyDescent="0.2">
      <c r="B66" s="19">
        <v>23362</v>
      </c>
      <c r="C66" s="19" t="s">
        <v>160</v>
      </c>
      <c r="D66" s="19" t="s">
        <v>161</v>
      </c>
      <c r="E66" s="19" t="s">
        <v>162</v>
      </c>
      <c r="F66" s="20" t="s">
        <v>258</v>
      </c>
      <c r="G66" s="19" t="s">
        <v>39</v>
      </c>
      <c r="H66" s="21">
        <v>41139</v>
      </c>
      <c r="I66" s="22">
        <f t="shared" si="2"/>
        <v>8</v>
      </c>
      <c r="J66" s="23">
        <v>179</v>
      </c>
      <c r="K66" s="24">
        <v>3</v>
      </c>
      <c r="L66" s="25">
        <f t="shared" si="3"/>
        <v>537</v>
      </c>
    </row>
    <row r="67" spans="2:12" outlineLevel="1" x14ac:dyDescent="0.2">
      <c r="B67" s="19">
        <v>23296</v>
      </c>
      <c r="C67" s="19" t="s">
        <v>163</v>
      </c>
      <c r="D67" s="19" t="s">
        <v>164</v>
      </c>
      <c r="E67" s="19" t="s">
        <v>38</v>
      </c>
      <c r="F67" s="20" t="s">
        <v>248</v>
      </c>
      <c r="G67" s="19" t="s">
        <v>45</v>
      </c>
      <c r="H67" s="21">
        <v>41068</v>
      </c>
      <c r="I67" s="22">
        <f t="shared" si="2"/>
        <v>6</v>
      </c>
      <c r="J67" s="23">
        <v>37</v>
      </c>
      <c r="K67" s="24">
        <v>14.5</v>
      </c>
      <c r="L67" s="25">
        <f t="shared" si="3"/>
        <v>536.5</v>
      </c>
    </row>
    <row r="68" spans="2:12" outlineLevel="1" x14ac:dyDescent="0.2">
      <c r="B68" s="19">
        <v>23352</v>
      </c>
      <c r="C68" s="19" t="s">
        <v>165</v>
      </c>
      <c r="D68" s="19" t="s">
        <v>166</v>
      </c>
      <c r="E68" s="19" t="s">
        <v>94</v>
      </c>
      <c r="F68" s="20" t="s">
        <v>253</v>
      </c>
      <c r="G68" s="19" t="s">
        <v>39</v>
      </c>
      <c r="H68" s="21">
        <v>41097</v>
      </c>
      <c r="I68" s="22">
        <f t="shared" si="2"/>
        <v>7</v>
      </c>
      <c r="J68" s="23">
        <v>89</v>
      </c>
      <c r="K68" s="24">
        <v>6</v>
      </c>
      <c r="L68" s="25">
        <f t="shared" si="3"/>
        <v>534</v>
      </c>
    </row>
    <row r="69" spans="2:12" outlineLevel="1" x14ac:dyDescent="0.2">
      <c r="B69" s="19">
        <v>23304</v>
      </c>
      <c r="C69" s="19" t="s">
        <v>167</v>
      </c>
      <c r="D69" s="19" t="s">
        <v>168</v>
      </c>
      <c r="E69" s="19" t="s">
        <v>116</v>
      </c>
      <c r="F69" s="20" t="s">
        <v>255</v>
      </c>
      <c r="G69" s="19" t="s">
        <v>45</v>
      </c>
      <c r="H69" s="21">
        <v>41061</v>
      </c>
      <c r="I69" s="22">
        <f t="shared" si="2"/>
        <v>6</v>
      </c>
      <c r="J69" s="23">
        <v>131</v>
      </c>
      <c r="K69" s="24">
        <v>3.99</v>
      </c>
      <c r="L69" s="25">
        <f t="shared" si="3"/>
        <v>522.69000000000005</v>
      </c>
    </row>
    <row r="70" spans="2:12" outlineLevel="1" x14ac:dyDescent="0.2">
      <c r="B70" s="19">
        <v>23369</v>
      </c>
      <c r="C70" s="19" t="s">
        <v>169</v>
      </c>
      <c r="D70" s="19" t="s">
        <v>170</v>
      </c>
      <c r="E70" s="19" t="s">
        <v>127</v>
      </c>
      <c r="F70" s="20" t="s">
        <v>257</v>
      </c>
      <c r="G70" s="19" t="s">
        <v>45</v>
      </c>
      <c r="H70" s="21">
        <v>41092</v>
      </c>
      <c r="I70" s="22">
        <f t="shared" si="2"/>
        <v>7</v>
      </c>
      <c r="J70" s="23">
        <v>77</v>
      </c>
      <c r="K70" s="24">
        <v>6.5</v>
      </c>
      <c r="L70" s="25">
        <f t="shared" si="3"/>
        <v>500.5</v>
      </c>
    </row>
    <row r="71" spans="2:12" outlineLevel="1" x14ac:dyDescent="0.2">
      <c r="B71" s="19">
        <v>23268</v>
      </c>
      <c r="C71" s="19" t="s">
        <v>171</v>
      </c>
      <c r="D71" s="19" t="s">
        <v>172</v>
      </c>
      <c r="E71" s="19" t="s">
        <v>94</v>
      </c>
      <c r="F71" s="20" t="s">
        <v>253</v>
      </c>
      <c r="G71" s="19" t="s">
        <v>39</v>
      </c>
      <c r="H71" s="21">
        <v>41102</v>
      </c>
      <c r="I71" s="22">
        <f t="shared" si="2"/>
        <v>7</v>
      </c>
      <c r="J71" s="23">
        <v>82</v>
      </c>
      <c r="K71" s="24">
        <v>6</v>
      </c>
      <c r="L71" s="25">
        <f t="shared" si="3"/>
        <v>492</v>
      </c>
    </row>
    <row r="72" spans="2:12" outlineLevel="1" x14ac:dyDescent="0.2">
      <c r="B72" s="19">
        <v>23315</v>
      </c>
      <c r="C72" s="19" t="s">
        <v>173</v>
      </c>
      <c r="D72" s="19" t="s">
        <v>55</v>
      </c>
      <c r="E72" s="19" t="s">
        <v>103</v>
      </c>
      <c r="F72" s="20" t="s">
        <v>254</v>
      </c>
      <c r="G72" s="19" t="s">
        <v>45</v>
      </c>
      <c r="H72" s="21">
        <v>41102</v>
      </c>
      <c r="I72" s="22">
        <f t="shared" si="2"/>
        <v>7</v>
      </c>
      <c r="J72" s="23">
        <v>109</v>
      </c>
      <c r="K72" s="24">
        <v>4.5</v>
      </c>
      <c r="L72" s="25">
        <f t="shared" si="3"/>
        <v>490.5</v>
      </c>
    </row>
    <row r="73" spans="2:12" outlineLevel="1" x14ac:dyDescent="0.2">
      <c r="B73" s="19">
        <v>23342</v>
      </c>
      <c r="C73" s="19" t="s">
        <v>174</v>
      </c>
      <c r="D73" s="19" t="s">
        <v>175</v>
      </c>
      <c r="E73" s="19" t="s">
        <v>116</v>
      </c>
      <c r="F73" s="20" t="s">
        <v>255</v>
      </c>
      <c r="G73" s="19" t="s">
        <v>39</v>
      </c>
      <c r="H73" s="21">
        <v>41088</v>
      </c>
      <c r="I73" s="22">
        <f t="shared" si="2"/>
        <v>6</v>
      </c>
      <c r="J73" s="23">
        <v>122</v>
      </c>
      <c r="K73" s="24">
        <v>3.99</v>
      </c>
      <c r="L73" s="25">
        <f t="shared" si="3"/>
        <v>486.78000000000003</v>
      </c>
    </row>
    <row r="74" spans="2:12" outlineLevel="1" x14ac:dyDescent="0.2">
      <c r="B74" s="19">
        <v>23333</v>
      </c>
      <c r="C74" s="19" t="s">
        <v>176</v>
      </c>
      <c r="D74" s="19" t="s">
        <v>107</v>
      </c>
      <c r="E74" s="19" t="s">
        <v>103</v>
      </c>
      <c r="F74" s="20" t="s">
        <v>254</v>
      </c>
      <c r="G74" s="19" t="s">
        <v>39</v>
      </c>
      <c r="H74" s="21">
        <v>41126</v>
      </c>
      <c r="I74" s="22">
        <f t="shared" ref="I74:I105" si="4">VALUE(MONTH(H74))</f>
        <v>8</v>
      </c>
      <c r="J74" s="23">
        <v>106</v>
      </c>
      <c r="K74" s="24">
        <v>4.5</v>
      </c>
      <c r="L74" s="25">
        <f t="shared" ref="L74:L105" si="5">K74*J74</f>
        <v>477</v>
      </c>
    </row>
    <row r="75" spans="2:12" outlineLevel="1" x14ac:dyDescent="0.2">
      <c r="B75" s="19">
        <v>23263</v>
      </c>
      <c r="C75" s="19" t="s">
        <v>177</v>
      </c>
      <c r="D75" s="19" t="s">
        <v>100</v>
      </c>
      <c r="E75" s="19" t="s">
        <v>91</v>
      </c>
      <c r="F75" s="20" t="s">
        <v>252</v>
      </c>
      <c r="G75" s="19" t="s">
        <v>39</v>
      </c>
      <c r="H75" s="21">
        <v>41096</v>
      </c>
      <c r="I75" s="22">
        <f t="shared" si="4"/>
        <v>7</v>
      </c>
      <c r="J75" s="23">
        <v>73</v>
      </c>
      <c r="K75" s="24">
        <v>6.5</v>
      </c>
      <c r="L75" s="25">
        <f t="shared" si="5"/>
        <v>474.5</v>
      </c>
    </row>
    <row r="76" spans="2:12" outlineLevel="1" x14ac:dyDescent="0.2">
      <c r="B76" s="19">
        <v>23270</v>
      </c>
      <c r="C76" s="19" t="s">
        <v>178</v>
      </c>
      <c r="D76" s="19" t="s">
        <v>179</v>
      </c>
      <c r="E76" s="19" t="s">
        <v>78</v>
      </c>
      <c r="F76" s="20" t="s">
        <v>251</v>
      </c>
      <c r="G76" s="19" t="s">
        <v>45</v>
      </c>
      <c r="H76" s="21">
        <v>41067</v>
      </c>
      <c r="I76" s="22">
        <f t="shared" si="4"/>
        <v>6</v>
      </c>
      <c r="J76" s="23">
        <v>67</v>
      </c>
      <c r="K76" s="24">
        <v>6.99</v>
      </c>
      <c r="L76" s="25">
        <f t="shared" si="5"/>
        <v>468.33000000000004</v>
      </c>
    </row>
    <row r="77" spans="2:12" outlineLevel="1" x14ac:dyDescent="0.2">
      <c r="B77" s="19">
        <v>23272</v>
      </c>
      <c r="C77" s="19" t="s">
        <v>180</v>
      </c>
      <c r="D77" s="19" t="s">
        <v>181</v>
      </c>
      <c r="E77" s="19" t="s">
        <v>91</v>
      </c>
      <c r="F77" s="20" t="s">
        <v>252</v>
      </c>
      <c r="G77" s="19" t="s">
        <v>42</v>
      </c>
      <c r="H77" s="21">
        <v>41121</v>
      </c>
      <c r="I77" s="22">
        <f t="shared" si="4"/>
        <v>7</v>
      </c>
      <c r="J77" s="23">
        <v>71</v>
      </c>
      <c r="K77" s="24">
        <v>6.5</v>
      </c>
      <c r="L77" s="25">
        <f t="shared" si="5"/>
        <v>461.5</v>
      </c>
    </row>
    <row r="78" spans="2:12" outlineLevel="1" x14ac:dyDescent="0.2">
      <c r="B78" s="19">
        <v>23274</v>
      </c>
      <c r="C78" s="19" t="s">
        <v>182</v>
      </c>
      <c r="D78" s="19" t="s">
        <v>183</v>
      </c>
      <c r="E78" s="19" t="s">
        <v>162</v>
      </c>
      <c r="F78" s="20" t="s">
        <v>258</v>
      </c>
      <c r="G78" s="19" t="s">
        <v>45</v>
      </c>
      <c r="H78" s="21">
        <v>41143</v>
      </c>
      <c r="I78" s="22">
        <f t="shared" si="4"/>
        <v>8</v>
      </c>
      <c r="J78" s="23">
        <v>153</v>
      </c>
      <c r="K78" s="24">
        <v>3</v>
      </c>
      <c r="L78" s="25">
        <f t="shared" si="5"/>
        <v>459</v>
      </c>
    </row>
    <row r="79" spans="2:12" outlineLevel="1" x14ac:dyDescent="0.2">
      <c r="B79" s="19">
        <v>23364</v>
      </c>
      <c r="C79" s="19" t="s">
        <v>184</v>
      </c>
      <c r="D79" s="19" t="s">
        <v>185</v>
      </c>
      <c r="E79" s="19" t="s">
        <v>59</v>
      </c>
      <c r="F79" s="20" t="s">
        <v>250</v>
      </c>
      <c r="G79" s="19" t="s">
        <v>39</v>
      </c>
      <c r="H79" s="21">
        <v>41093</v>
      </c>
      <c r="I79" s="22">
        <f t="shared" si="4"/>
        <v>7</v>
      </c>
      <c r="J79" s="23">
        <v>47</v>
      </c>
      <c r="K79" s="24">
        <v>9</v>
      </c>
      <c r="L79" s="25">
        <f t="shared" si="5"/>
        <v>423</v>
      </c>
    </row>
    <row r="80" spans="2:12" outlineLevel="1" x14ac:dyDescent="0.2">
      <c r="B80" s="19">
        <v>23276</v>
      </c>
      <c r="C80" s="19" t="s">
        <v>186</v>
      </c>
      <c r="D80" s="19" t="s">
        <v>187</v>
      </c>
      <c r="E80" s="19" t="s">
        <v>127</v>
      </c>
      <c r="F80" s="20" t="s">
        <v>257</v>
      </c>
      <c r="G80" s="19" t="s">
        <v>39</v>
      </c>
      <c r="H80" s="21">
        <v>41122</v>
      </c>
      <c r="I80" s="22">
        <f t="shared" si="4"/>
        <v>8</v>
      </c>
      <c r="J80" s="23">
        <v>65</v>
      </c>
      <c r="K80" s="24">
        <v>6.5</v>
      </c>
      <c r="L80" s="25">
        <f t="shared" si="5"/>
        <v>422.5</v>
      </c>
    </row>
    <row r="81" spans="2:12" outlineLevel="1" x14ac:dyDescent="0.2">
      <c r="B81" s="19">
        <v>23343</v>
      </c>
      <c r="C81" s="19" t="s">
        <v>188</v>
      </c>
      <c r="D81" s="19" t="s">
        <v>137</v>
      </c>
      <c r="E81" s="19" t="s">
        <v>56</v>
      </c>
      <c r="F81" s="20" t="s">
        <v>249</v>
      </c>
      <c r="G81" s="19" t="s">
        <v>39</v>
      </c>
      <c r="H81" s="21">
        <v>41144</v>
      </c>
      <c r="I81" s="22">
        <f t="shared" si="4"/>
        <v>8</v>
      </c>
      <c r="J81" s="23">
        <v>42</v>
      </c>
      <c r="K81" s="24">
        <v>9.99</v>
      </c>
      <c r="L81" s="25">
        <f t="shared" si="5"/>
        <v>419.58</v>
      </c>
    </row>
    <row r="82" spans="2:12" outlineLevel="1" x14ac:dyDescent="0.2">
      <c r="B82" s="19">
        <v>23344</v>
      </c>
      <c r="C82" s="19" t="s">
        <v>189</v>
      </c>
      <c r="D82" s="19" t="s">
        <v>190</v>
      </c>
      <c r="E82" s="19" t="s">
        <v>91</v>
      </c>
      <c r="F82" s="20" t="s">
        <v>252</v>
      </c>
      <c r="G82" s="19" t="s">
        <v>39</v>
      </c>
      <c r="H82" s="21">
        <v>41265</v>
      </c>
      <c r="I82" s="22">
        <f t="shared" si="4"/>
        <v>12</v>
      </c>
      <c r="J82" s="23">
        <v>64</v>
      </c>
      <c r="K82" s="24">
        <v>6.5</v>
      </c>
      <c r="L82" s="25">
        <f t="shared" si="5"/>
        <v>416</v>
      </c>
    </row>
    <row r="83" spans="2:12" outlineLevel="1" x14ac:dyDescent="0.2">
      <c r="B83" s="19">
        <v>23299</v>
      </c>
      <c r="C83" s="19" t="s">
        <v>191</v>
      </c>
      <c r="D83" s="19" t="s">
        <v>151</v>
      </c>
      <c r="E83" s="19" t="s">
        <v>116</v>
      </c>
      <c r="F83" s="20" t="s">
        <v>255</v>
      </c>
      <c r="G83" s="19" t="s">
        <v>45</v>
      </c>
      <c r="H83" s="21">
        <v>41087</v>
      </c>
      <c r="I83" s="22">
        <f t="shared" si="4"/>
        <v>6</v>
      </c>
      <c r="J83" s="23">
        <v>104</v>
      </c>
      <c r="K83" s="24">
        <v>3.99</v>
      </c>
      <c r="L83" s="25">
        <f t="shared" si="5"/>
        <v>414.96000000000004</v>
      </c>
    </row>
    <row r="84" spans="2:12" outlineLevel="1" x14ac:dyDescent="0.2">
      <c r="B84" s="19">
        <v>23310</v>
      </c>
      <c r="C84" s="19" t="s">
        <v>192</v>
      </c>
      <c r="D84" s="19" t="s">
        <v>47</v>
      </c>
      <c r="E84" s="19" t="s">
        <v>56</v>
      </c>
      <c r="F84" s="20" t="s">
        <v>249</v>
      </c>
      <c r="G84" s="19" t="s">
        <v>39</v>
      </c>
      <c r="H84" s="21">
        <v>41077</v>
      </c>
      <c r="I84" s="22">
        <f t="shared" si="4"/>
        <v>6</v>
      </c>
      <c r="J84" s="23">
        <v>41</v>
      </c>
      <c r="K84" s="24">
        <v>9.99</v>
      </c>
      <c r="L84" s="25">
        <f t="shared" si="5"/>
        <v>409.59000000000003</v>
      </c>
    </row>
    <row r="85" spans="2:12" outlineLevel="1" x14ac:dyDescent="0.2">
      <c r="B85" s="19">
        <v>23358</v>
      </c>
      <c r="C85" s="19" t="s">
        <v>193</v>
      </c>
      <c r="D85" s="19" t="s">
        <v>194</v>
      </c>
      <c r="E85" s="19" t="s">
        <v>56</v>
      </c>
      <c r="F85" s="20" t="s">
        <v>249</v>
      </c>
      <c r="G85" s="19" t="s">
        <v>45</v>
      </c>
      <c r="H85" s="21">
        <v>41071</v>
      </c>
      <c r="I85" s="22">
        <f t="shared" si="4"/>
        <v>6</v>
      </c>
      <c r="J85" s="23">
        <v>41</v>
      </c>
      <c r="K85" s="24">
        <v>9.99</v>
      </c>
      <c r="L85" s="25">
        <f t="shared" si="5"/>
        <v>409.59000000000003</v>
      </c>
    </row>
    <row r="86" spans="2:12" outlineLevel="1" x14ac:dyDescent="0.2">
      <c r="B86" s="19">
        <v>23323</v>
      </c>
      <c r="C86" s="19" t="s">
        <v>195</v>
      </c>
      <c r="D86" s="19" t="s">
        <v>196</v>
      </c>
      <c r="E86" s="19" t="s">
        <v>162</v>
      </c>
      <c r="F86" s="20" t="s">
        <v>258</v>
      </c>
      <c r="G86" s="19" t="s">
        <v>39</v>
      </c>
      <c r="H86" s="21">
        <v>41272</v>
      </c>
      <c r="I86" s="22">
        <f t="shared" si="4"/>
        <v>12</v>
      </c>
      <c r="J86" s="23">
        <v>135</v>
      </c>
      <c r="K86" s="24">
        <v>3</v>
      </c>
      <c r="L86" s="25">
        <f t="shared" si="5"/>
        <v>405</v>
      </c>
    </row>
    <row r="87" spans="2:12" outlineLevel="1" x14ac:dyDescent="0.2">
      <c r="B87" s="19">
        <v>23267</v>
      </c>
      <c r="C87" s="19" t="s">
        <v>197</v>
      </c>
      <c r="D87" s="19" t="s">
        <v>198</v>
      </c>
      <c r="E87" s="19" t="s">
        <v>162</v>
      </c>
      <c r="F87" s="20" t="s">
        <v>258</v>
      </c>
      <c r="G87" s="19" t="s">
        <v>39</v>
      </c>
      <c r="H87" s="21">
        <v>41101</v>
      </c>
      <c r="I87" s="22">
        <f t="shared" si="4"/>
        <v>7</v>
      </c>
      <c r="J87" s="23">
        <v>129</v>
      </c>
      <c r="K87" s="24">
        <v>3</v>
      </c>
      <c r="L87" s="25">
        <f t="shared" si="5"/>
        <v>387</v>
      </c>
    </row>
    <row r="88" spans="2:12" outlineLevel="1" x14ac:dyDescent="0.2">
      <c r="B88" s="19">
        <v>23340</v>
      </c>
      <c r="C88" s="19" t="s">
        <v>199</v>
      </c>
      <c r="D88" s="19" t="s">
        <v>200</v>
      </c>
      <c r="E88" s="19" t="s">
        <v>125</v>
      </c>
      <c r="F88" s="20" t="s">
        <v>256</v>
      </c>
      <c r="G88" s="19" t="s">
        <v>39</v>
      </c>
      <c r="H88" s="21">
        <v>41095</v>
      </c>
      <c r="I88" s="22">
        <f t="shared" si="4"/>
        <v>7</v>
      </c>
      <c r="J88" s="23">
        <v>85</v>
      </c>
      <c r="K88" s="24">
        <v>4.5</v>
      </c>
      <c r="L88" s="25">
        <f t="shared" si="5"/>
        <v>382.5</v>
      </c>
    </row>
    <row r="89" spans="2:12" outlineLevel="1" x14ac:dyDescent="0.2">
      <c r="B89" s="19">
        <v>23269</v>
      </c>
      <c r="C89" s="19" t="s">
        <v>201</v>
      </c>
      <c r="D89" s="19" t="s">
        <v>183</v>
      </c>
      <c r="E89" s="19" t="s">
        <v>162</v>
      </c>
      <c r="F89" s="20" t="s">
        <v>258</v>
      </c>
      <c r="G89" s="19" t="s">
        <v>39</v>
      </c>
      <c r="H89" s="21">
        <v>41063</v>
      </c>
      <c r="I89" s="22">
        <f t="shared" si="4"/>
        <v>6</v>
      </c>
      <c r="J89" s="23">
        <v>116</v>
      </c>
      <c r="K89" s="24">
        <v>3</v>
      </c>
      <c r="L89" s="25">
        <f t="shared" si="5"/>
        <v>348</v>
      </c>
    </row>
    <row r="90" spans="2:12" outlineLevel="1" x14ac:dyDescent="0.2">
      <c r="B90" s="19">
        <v>23308</v>
      </c>
      <c r="C90" s="19" t="s">
        <v>202</v>
      </c>
      <c r="D90" s="19" t="s">
        <v>203</v>
      </c>
      <c r="E90" s="19" t="s">
        <v>162</v>
      </c>
      <c r="F90" s="20" t="s">
        <v>258</v>
      </c>
      <c r="G90" s="19" t="s">
        <v>45</v>
      </c>
      <c r="H90" s="21">
        <v>41099</v>
      </c>
      <c r="I90" s="22">
        <f t="shared" si="4"/>
        <v>7</v>
      </c>
      <c r="J90" s="23">
        <v>112</v>
      </c>
      <c r="K90" s="24">
        <v>3</v>
      </c>
      <c r="L90" s="25">
        <f t="shared" si="5"/>
        <v>336</v>
      </c>
    </row>
    <row r="91" spans="2:12" outlineLevel="1" x14ac:dyDescent="0.2">
      <c r="B91" s="19">
        <v>23356</v>
      </c>
      <c r="C91" s="19" t="s">
        <v>204</v>
      </c>
      <c r="D91" s="19" t="s">
        <v>205</v>
      </c>
      <c r="E91" s="19" t="s">
        <v>116</v>
      </c>
      <c r="F91" s="20" t="s">
        <v>255</v>
      </c>
      <c r="G91" s="19" t="s">
        <v>39</v>
      </c>
      <c r="H91" s="21">
        <v>41081</v>
      </c>
      <c r="I91" s="22">
        <f t="shared" si="4"/>
        <v>6</v>
      </c>
      <c r="J91" s="23">
        <v>80</v>
      </c>
      <c r="K91" s="24">
        <v>3.99</v>
      </c>
      <c r="L91" s="25">
        <f t="shared" si="5"/>
        <v>319.20000000000005</v>
      </c>
    </row>
    <row r="92" spans="2:12" outlineLevel="1" x14ac:dyDescent="0.2">
      <c r="B92" s="19">
        <v>23318</v>
      </c>
      <c r="C92" s="19" t="s">
        <v>206</v>
      </c>
      <c r="D92" s="19" t="s">
        <v>207</v>
      </c>
      <c r="E92" s="19" t="s">
        <v>91</v>
      </c>
      <c r="F92" s="20" t="s">
        <v>252</v>
      </c>
      <c r="G92" s="19" t="s">
        <v>39</v>
      </c>
      <c r="H92" s="21">
        <v>41099</v>
      </c>
      <c r="I92" s="22">
        <f t="shared" si="4"/>
        <v>7</v>
      </c>
      <c r="J92" s="23">
        <v>48</v>
      </c>
      <c r="K92" s="24">
        <v>6.5</v>
      </c>
      <c r="L92" s="25">
        <f t="shared" si="5"/>
        <v>312</v>
      </c>
    </row>
    <row r="93" spans="2:12" outlineLevel="1" x14ac:dyDescent="0.2">
      <c r="B93" s="19">
        <v>23357</v>
      </c>
      <c r="C93" s="19" t="s">
        <v>208</v>
      </c>
      <c r="D93" s="19" t="s">
        <v>164</v>
      </c>
      <c r="E93" s="19" t="s">
        <v>94</v>
      </c>
      <c r="F93" s="20" t="s">
        <v>253</v>
      </c>
      <c r="G93" s="19" t="s">
        <v>45</v>
      </c>
      <c r="H93" s="21">
        <v>41107</v>
      </c>
      <c r="I93" s="22">
        <f t="shared" si="4"/>
        <v>7</v>
      </c>
      <c r="J93" s="23">
        <v>50</v>
      </c>
      <c r="K93" s="24">
        <v>6</v>
      </c>
      <c r="L93" s="25">
        <f t="shared" si="5"/>
        <v>300</v>
      </c>
    </row>
    <row r="94" spans="2:12" outlineLevel="1" x14ac:dyDescent="0.2">
      <c r="B94" s="19">
        <v>23377</v>
      </c>
      <c r="C94" s="19" t="s">
        <v>209</v>
      </c>
      <c r="D94" s="19" t="s">
        <v>153</v>
      </c>
      <c r="E94" s="19" t="s">
        <v>127</v>
      </c>
      <c r="F94" s="20" t="s">
        <v>257</v>
      </c>
      <c r="G94" s="19" t="s">
        <v>39</v>
      </c>
      <c r="H94" s="21">
        <v>41075</v>
      </c>
      <c r="I94" s="22">
        <f t="shared" si="4"/>
        <v>6</v>
      </c>
      <c r="J94" s="23">
        <v>43</v>
      </c>
      <c r="K94" s="24">
        <v>6.5</v>
      </c>
      <c r="L94" s="25">
        <f t="shared" si="5"/>
        <v>279.5</v>
      </c>
    </row>
    <row r="95" spans="2:12" outlineLevel="1" x14ac:dyDescent="0.2">
      <c r="B95" s="19">
        <v>23311</v>
      </c>
      <c r="C95" s="19" t="s">
        <v>210</v>
      </c>
      <c r="D95" s="19" t="s">
        <v>211</v>
      </c>
      <c r="E95" s="19" t="s">
        <v>38</v>
      </c>
      <c r="F95" s="20" t="s">
        <v>248</v>
      </c>
      <c r="G95" s="19" t="s">
        <v>45</v>
      </c>
      <c r="H95" s="21">
        <v>41072</v>
      </c>
      <c r="I95" s="22">
        <f t="shared" si="4"/>
        <v>6</v>
      </c>
      <c r="J95" s="23">
        <v>18</v>
      </c>
      <c r="K95" s="24">
        <v>14.5</v>
      </c>
      <c r="L95" s="25">
        <f t="shared" si="5"/>
        <v>261</v>
      </c>
    </row>
    <row r="96" spans="2:12" outlineLevel="1" x14ac:dyDescent="0.2">
      <c r="B96" s="19">
        <v>23379</v>
      </c>
      <c r="C96" s="19" t="s">
        <v>212</v>
      </c>
      <c r="D96" s="19" t="s">
        <v>213</v>
      </c>
      <c r="E96" s="19" t="s">
        <v>116</v>
      </c>
      <c r="F96" s="20" t="s">
        <v>255</v>
      </c>
      <c r="G96" s="19" t="s">
        <v>39</v>
      </c>
      <c r="H96" s="21">
        <v>41270</v>
      </c>
      <c r="I96" s="22">
        <f t="shared" si="4"/>
        <v>12</v>
      </c>
      <c r="J96" s="23">
        <v>65</v>
      </c>
      <c r="K96" s="24">
        <v>3.99</v>
      </c>
      <c r="L96" s="25">
        <f t="shared" si="5"/>
        <v>259.35000000000002</v>
      </c>
    </row>
    <row r="97" spans="2:12" outlineLevel="1" x14ac:dyDescent="0.2">
      <c r="B97" s="19">
        <v>23360</v>
      </c>
      <c r="C97" s="19" t="s">
        <v>214</v>
      </c>
      <c r="D97" s="19" t="s">
        <v>198</v>
      </c>
      <c r="E97" s="19" t="s">
        <v>78</v>
      </c>
      <c r="F97" s="20" t="s">
        <v>251</v>
      </c>
      <c r="G97" s="19" t="s">
        <v>39</v>
      </c>
      <c r="H97" s="21">
        <v>41073</v>
      </c>
      <c r="I97" s="22">
        <f t="shared" si="4"/>
        <v>6</v>
      </c>
      <c r="J97" s="23">
        <v>37</v>
      </c>
      <c r="K97" s="24">
        <v>6.99</v>
      </c>
      <c r="L97" s="25">
        <f t="shared" si="5"/>
        <v>258.63</v>
      </c>
    </row>
    <row r="98" spans="2:12" outlineLevel="1" x14ac:dyDescent="0.2">
      <c r="B98" s="19">
        <v>23339</v>
      </c>
      <c r="C98" s="19" t="s">
        <v>215</v>
      </c>
      <c r="D98" s="19" t="s">
        <v>216</v>
      </c>
      <c r="E98" s="19" t="s">
        <v>94</v>
      </c>
      <c r="F98" s="20" t="s">
        <v>253</v>
      </c>
      <c r="G98" s="19" t="s">
        <v>39</v>
      </c>
      <c r="H98" s="21">
        <v>41101</v>
      </c>
      <c r="I98" s="22">
        <f t="shared" si="4"/>
        <v>7</v>
      </c>
      <c r="J98" s="23">
        <v>41</v>
      </c>
      <c r="K98" s="24">
        <v>6</v>
      </c>
      <c r="L98" s="25">
        <f t="shared" si="5"/>
        <v>246</v>
      </c>
    </row>
    <row r="99" spans="2:12" outlineLevel="1" x14ac:dyDescent="0.2">
      <c r="B99" s="19">
        <v>23341</v>
      </c>
      <c r="C99" s="19" t="s">
        <v>217</v>
      </c>
      <c r="D99" s="19" t="s">
        <v>218</v>
      </c>
      <c r="E99" s="19" t="s">
        <v>162</v>
      </c>
      <c r="F99" s="20" t="s">
        <v>258</v>
      </c>
      <c r="G99" s="19" t="s">
        <v>45</v>
      </c>
      <c r="H99" s="21">
        <v>41026</v>
      </c>
      <c r="I99" s="22">
        <f t="shared" si="4"/>
        <v>4</v>
      </c>
      <c r="J99" s="23">
        <v>77</v>
      </c>
      <c r="K99" s="24">
        <v>3</v>
      </c>
      <c r="L99" s="25">
        <f t="shared" si="5"/>
        <v>231</v>
      </c>
    </row>
    <row r="100" spans="2:12" outlineLevel="1" x14ac:dyDescent="0.2">
      <c r="B100" s="19">
        <v>23374</v>
      </c>
      <c r="C100" s="19" t="s">
        <v>219</v>
      </c>
      <c r="D100" s="19" t="s">
        <v>220</v>
      </c>
      <c r="E100" s="19" t="s">
        <v>116</v>
      </c>
      <c r="F100" s="20" t="s">
        <v>255</v>
      </c>
      <c r="G100" s="19" t="s">
        <v>39</v>
      </c>
      <c r="H100" s="21">
        <v>41257</v>
      </c>
      <c r="I100" s="22">
        <f t="shared" si="4"/>
        <v>12</v>
      </c>
      <c r="J100" s="23">
        <v>57</v>
      </c>
      <c r="K100" s="24">
        <v>3.99</v>
      </c>
      <c r="L100" s="25">
        <f t="shared" si="5"/>
        <v>227.43</v>
      </c>
    </row>
    <row r="101" spans="2:12" outlineLevel="1" x14ac:dyDescent="0.2">
      <c r="B101" s="19">
        <v>23273</v>
      </c>
      <c r="C101" s="19" t="s">
        <v>221</v>
      </c>
      <c r="D101" s="19" t="s">
        <v>222</v>
      </c>
      <c r="E101" s="19" t="s">
        <v>56</v>
      </c>
      <c r="F101" s="20" t="s">
        <v>249</v>
      </c>
      <c r="G101" s="19" t="s">
        <v>39</v>
      </c>
      <c r="H101" s="21">
        <v>41256</v>
      </c>
      <c r="I101" s="22">
        <f t="shared" si="4"/>
        <v>12</v>
      </c>
      <c r="J101" s="23">
        <v>22</v>
      </c>
      <c r="K101" s="24">
        <v>9.99</v>
      </c>
      <c r="L101" s="25">
        <f t="shared" si="5"/>
        <v>219.78</v>
      </c>
    </row>
    <row r="102" spans="2:12" outlineLevel="1" x14ac:dyDescent="0.2">
      <c r="B102" s="19">
        <v>23280</v>
      </c>
      <c r="C102" s="19" t="s">
        <v>223</v>
      </c>
      <c r="D102" s="19" t="s">
        <v>55</v>
      </c>
      <c r="E102" s="19" t="s">
        <v>78</v>
      </c>
      <c r="F102" s="20" t="s">
        <v>251</v>
      </c>
      <c r="G102" s="19" t="s">
        <v>39</v>
      </c>
      <c r="H102" s="21">
        <v>41002</v>
      </c>
      <c r="I102" s="22">
        <f t="shared" si="4"/>
        <v>4</v>
      </c>
      <c r="J102" s="23">
        <v>30</v>
      </c>
      <c r="K102" s="24">
        <v>6.99</v>
      </c>
      <c r="L102" s="25">
        <f t="shared" si="5"/>
        <v>209.70000000000002</v>
      </c>
    </row>
    <row r="103" spans="2:12" outlineLevel="1" x14ac:dyDescent="0.2">
      <c r="B103" s="19">
        <v>23370</v>
      </c>
      <c r="C103" s="19" t="s">
        <v>224</v>
      </c>
      <c r="D103" s="19" t="s">
        <v>93</v>
      </c>
      <c r="E103" s="19" t="s">
        <v>162</v>
      </c>
      <c r="F103" s="20" t="s">
        <v>258</v>
      </c>
      <c r="G103" s="19" t="s">
        <v>45</v>
      </c>
      <c r="H103" s="21">
        <v>41028</v>
      </c>
      <c r="I103" s="22">
        <f t="shared" si="4"/>
        <v>4</v>
      </c>
      <c r="J103" s="23">
        <v>63</v>
      </c>
      <c r="K103" s="24">
        <v>3</v>
      </c>
      <c r="L103" s="25">
        <f t="shared" si="5"/>
        <v>189</v>
      </c>
    </row>
    <row r="104" spans="2:12" outlineLevel="1" x14ac:dyDescent="0.2">
      <c r="B104" s="19">
        <v>23372</v>
      </c>
      <c r="C104" s="19" t="s">
        <v>225</v>
      </c>
      <c r="D104" s="19" t="s">
        <v>226</v>
      </c>
      <c r="E104" s="19" t="s">
        <v>127</v>
      </c>
      <c r="F104" s="20" t="s">
        <v>257</v>
      </c>
      <c r="G104" s="19" t="s">
        <v>39</v>
      </c>
      <c r="H104" s="21">
        <v>41255</v>
      </c>
      <c r="I104" s="22">
        <f t="shared" si="4"/>
        <v>12</v>
      </c>
      <c r="J104" s="23">
        <v>22</v>
      </c>
      <c r="K104" s="24">
        <v>6.5</v>
      </c>
      <c r="L104" s="25">
        <f t="shared" si="5"/>
        <v>143</v>
      </c>
    </row>
    <row r="105" spans="2:12" outlineLevel="1" x14ac:dyDescent="0.2">
      <c r="B105" s="19">
        <v>23265</v>
      </c>
      <c r="C105" s="19" t="s">
        <v>227</v>
      </c>
      <c r="D105" s="19" t="s">
        <v>228</v>
      </c>
      <c r="E105" s="19" t="s">
        <v>56</v>
      </c>
      <c r="F105" s="20" t="s">
        <v>249</v>
      </c>
      <c r="G105" s="19" t="s">
        <v>45</v>
      </c>
      <c r="H105" s="21">
        <v>41248</v>
      </c>
      <c r="I105" s="22">
        <f t="shared" si="4"/>
        <v>12</v>
      </c>
      <c r="J105" s="23">
        <v>14</v>
      </c>
      <c r="K105" s="24">
        <v>9.99</v>
      </c>
      <c r="L105" s="25">
        <f t="shared" si="5"/>
        <v>139.86000000000001</v>
      </c>
    </row>
    <row r="106" spans="2:12" outlineLevel="1" x14ac:dyDescent="0.2">
      <c r="B106" s="19">
        <v>23346</v>
      </c>
      <c r="C106" s="19" t="s">
        <v>229</v>
      </c>
      <c r="D106" s="19" t="s">
        <v>145</v>
      </c>
      <c r="E106" s="19" t="s">
        <v>56</v>
      </c>
      <c r="F106" s="20" t="s">
        <v>249</v>
      </c>
      <c r="G106" s="19" t="s">
        <v>39</v>
      </c>
      <c r="H106" s="21">
        <v>41119</v>
      </c>
      <c r="I106" s="22">
        <f t="shared" ref="I106:I116" si="6">VALUE(MONTH(H106))</f>
        <v>7</v>
      </c>
      <c r="J106" s="23">
        <v>13</v>
      </c>
      <c r="K106" s="24">
        <v>9.99</v>
      </c>
      <c r="L106" s="25">
        <f t="shared" ref="L106:L116" si="7">K106*J106</f>
        <v>129.87</v>
      </c>
    </row>
    <row r="107" spans="2:12" outlineLevel="1" x14ac:dyDescent="0.2">
      <c r="B107" s="19">
        <v>23312</v>
      </c>
      <c r="C107" s="19" t="s">
        <v>230</v>
      </c>
      <c r="D107" s="19" t="s">
        <v>231</v>
      </c>
      <c r="E107" s="19" t="s">
        <v>116</v>
      </c>
      <c r="F107" s="20" t="s">
        <v>255</v>
      </c>
      <c r="G107" s="19" t="s">
        <v>39</v>
      </c>
      <c r="H107" s="21">
        <v>41096</v>
      </c>
      <c r="I107" s="22">
        <f t="shared" si="6"/>
        <v>7</v>
      </c>
      <c r="J107" s="23">
        <v>28</v>
      </c>
      <c r="K107" s="24">
        <v>3.99</v>
      </c>
      <c r="L107" s="25">
        <f t="shared" si="7"/>
        <v>111.72</v>
      </c>
    </row>
    <row r="108" spans="2:12" outlineLevel="1" x14ac:dyDescent="0.2">
      <c r="B108" s="19">
        <v>23355</v>
      </c>
      <c r="C108" s="19" t="s">
        <v>232</v>
      </c>
      <c r="D108" s="19" t="s">
        <v>141</v>
      </c>
      <c r="E108" s="19" t="s">
        <v>103</v>
      </c>
      <c r="F108" s="20" t="s">
        <v>254</v>
      </c>
      <c r="G108" s="19" t="s">
        <v>39</v>
      </c>
      <c r="H108" s="21">
        <v>41026</v>
      </c>
      <c r="I108" s="22">
        <f t="shared" si="6"/>
        <v>4</v>
      </c>
      <c r="J108" s="23">
        <v>16</v>
      </c>
      <c r="K108" s="24">
        <v>4.5</v>
      </c>
      <c r="L108" s="25">
        <f t="shared" si="7"/>
        <v>72</v>
      </c>
    </row>
    <row r="109" spans="2:12" outlineLevel="1" x14ac:dyDescent="0.2">
      <c r="B109" s="19">
        <v>23322</v>
      </c>
      <c r="C109" s="19" t="s">
        <v>233</v>
      </c>
      <c r="D109" s="19" t="s">
        <v>105</v>
      </c>
      <c r="E109" s="19" t="s">
        <v>162</v>
      </c>
      <c r="F109" s="20" t="s">
        <v>258</v>
      </c>
      <c r="G109" s="19" t="s">
        <v>45</v>
      </c>
      <c r="H109" s="21">
        <v>41009</v>
      </c>
      <c r="I109" s="22">
        <f t="shared" si="6"/>
        <v>4</v>
      </c>
      <c r="J109" s="23">
        <v>20</v>
      </c>
      <c r="K109" s="24">
        <v>3</v>
      </c>
      <c r="L109" s="25">
        <f t="shared" si="7"/>
        <v>60</v>
      </c>
    </row>
    <row r="110" spans="2:12" outlineLevel="1" x14ac:dyDescent="0.2">
      <c r="B110" s="19">
        <v>23298</v>
      </c>
      <c r="C110" s="19" t="s">
        <v>234</v>
      </c>
      <c r="D110" s="19" t="s">
        <v>235</v>
      </c>
      <c r="E110" s="19" t="s">
        <v>103</v>
      </c>
      <c r="F110" s="20" t="s">
        <v>254</v>
      </c>
      <c r="G110" s="19" t="s">
        <v>42</v>
      </c>
      <c r="H110" s="21">
        <v>41118</v>
      </c>
      <c r="I110" s="22">
        <f t="shared" si="6"/>
        <v>7</v>
      </c>
      <c r="J110" s="23">
        <v>12</v>
      </c>
      <c r="K110" s="24">
        <v>4.5</v>
      </c>
      <c r="L110" s="25">
        <f t="shared" si="7"/>
        <v>54</v>
      </c>
    </row>
    <row r="111" spans="2:12" outlineLevel="1" x14ac:dyDescent="0.2">
      <c r="B111" s="19">
        <v>23367</v>
      </c>
      <c r="C111" s="19" t="s">
        <v>236</v>
      </c>
      <c r="D111" s="19" t="s">
        <v>237</v>
      </c>
      <c r="E111" s="19" t="s">
        <v>103</v>
      </c>
      <c r="F111" s="20" t="s">
        <v>254</v>
      </c>
      <c r="G111" s="19" t="s">
        <v>45</v>
      </c>
      <c r="H111" s="21">
        <v>41023</v>
      </c>
      <c r="I111" s="22">
        <f t="shared" si="6"/>
        <v>4</v>
      </c>
      <c r="J111" s="23">
        <v>10</v>
      </c>
      <c r="K111" s="24">
        <v>4.5</v>
      </c>
      <c r="L111" s="25">
        <f t="shared" si="7"/>
        <v>45</v>
      </c>
    </row>
    <row r="112" spans="2:12" outlineLevel="1" x14ac:dyDescent="0.2">
      <c r="B112" s="19">
        <v>23334</v>
      </c>
      <c r="C112" s="19" t="s">
        <v>238</v>
      </c>
      <c r="D112" s="19" t="s">
        <v>133</v>
      </c>
      <c r="E112" s="19" t="s">
        <v>162</v>
      </c>
      <c r="F112" s="20" t="s">
        <v>258</v>
      </c>
      <c r="G112" s="19" t="s">
        <v>39</v>
      </c>
      <c r="H112" s="21">
        <v>41260</v>
      </c>
      <c r="I112" s="22">
        <f t="shared" si="6"/>
        <v>12</v>
      </c>
      <c r="J112" s="23">
        <v>14</v>
      </c>
      <c r="K112" s="24">
        <v>3</v>
      </c>
      <c r="L112" s="25">
        <f t="shared" si="7"/>
        <v>42</v>
      </c>
    </row>
    <row r="113" spans="2:12" outlineLevel="1" x14ac:dyDescent="0.2">
      <c r="B113" s="19">
        <v>23285</v>
      </c>
      <c r="C113" s="19" t="s">
        <v>239</v>
      </c>
      <c r="D113" s="19" t="s">
        <v>153</v>
      </c>
      <c r="E113" s="19" t="s">
        <v>125</v>
      </c>
      <c r="F113" s="20" t="s">
        <v>256</v>
      </c>
      <c r="G113" s="19" t="s">
        <v>45</v>
      </c>
      <c r="H113" s="21">
        <v>41114</v>
      </c>
      <c r="I113" s="22">
        <f t="shared" si="6"/>
        <v>7</v>
      </c>
      <c r="J113" s="23">
        <v>9</v>
      </c>
      <c r="K113" s="24">
        <v>4.5</v>
      </c>
      <c r="L113" s="25">
        <f t="shared" si="7"/>
        <v>40.5</v>
      </c>
    </row>
    <row r="114" spans="2:12" outlineLevel="1" x14ac:dyDescent="0.2">
      <c r="B114" s="19">
        <v>23375</v>
      </c>
      <c r="C114" s="19" t="s">
        <v>240</v>
      </c>
      <c r="D114" s="19" t="s">
        <v>141</v>
      </c>
      <c r="E114" s="19" t="s">
        <v>78</v>
      </c>
      <c r="F114" s="20" t="s">
        <v>251</v>
      </c>
      <c r="G114" s="19" t="s">
        <v>45</v>
      </c>
      <c r="H114" s="21">
        <v>41029</v>
      </c>
      <c r="I114" s="22">
        <f t="shared" si="6"/>
        <v>4</v>
      </c>
      <c r="J114" s="23">
        <v>5</v>
      </c>
      <c r="K114" s="24">
        <v>6.99</v>
      </c>
      <c r="L114" s="25">
        <f t="shared" si="7"/>
        <v>34.950000000000003</v>
      </c>
    </row>
    <row r="115" spans="2:12" outlineLevel="1" x14ac:dyDescent="0.2">
      <c r="B115" s="19">
        <v>23336</v>
      </c>
      <c r="C115" s="19" t="s">
        <v>241</v>
      </c>
      <c r="D115" s="19" t="s">
        <v>242</v>
      </c>
      <c r="E115" s="19" t="s">
        <v>125</v>
      </c>
      <c r="F115" s="20" t="s">
        <v>256</v>
      </c>
      <c r="G115" s="19" t="s">
        <v>45</v>
      </c>
      <c r="H115" s="21">
        <v>41091</v>
      </c>
      <c r="I115" s="22">
        <f t="shared" si="6"/>
        <v>7</v>
      </c>
      <c r="J115" s="23">
        <v>7</v>
      </c>
      <c r="K115" s="24">
        <v>4.5</v>
      </c>
      <c r="L115" s="25">
        <f t="shared" si="7"/>
        <v>31.5</v>
      </c>
    </row>
    <row r="116" spans="2:12" outlineLevel="1" x14ac:dyDescent="0.2">
      <c r="B116" s="19">
        <v>23279</v>
      </c>
      <c r="C116" s="19" t="s">
        <v>243</v>
      </c>
      <c r="D116" s="19" t="s">
        <v>216</v>
      </c>
      <c r="E116" s="19" t="s">
        <v>162</v>
      </c>
      <c r="F116" s="20" t="s">
        <v>258</v>
      </c>
      <c r="G116" s="19" t="s">
        <v>39</v>
      </c>
      <c r="H116" s="21">
        <v>41020</v>
      </c>
      <c r="I116" s="22">
        <f t="shared" si="6"/>
        <v>4</v>
      </c>
      <c r="J116" s="23">
        <v>10</v>
      </c>
      <c r="K116" s="24">
        <v>3</v>
      </c>
      <c r="L116" s="25">
        <f t="shared" si="7"/>
        <v>30</v>
      </c>
    </row>
    <row r="117" spans="2:12" outlineLevel="1" x14ac:dyDescent="0.2">
      <c r="K117" s="59"/>
    </row>
    <row r="118" spans="2:12" outlineLevel="1" x14ac:dyDescent="0.2"/>
    <row r="119" spans="2:12" outlineLevel="1" x14ac:dyDescent="0.2"/>
    <row r="120" spans="2:12" outlineLevel="1" x14ac:dyDescent="0.2"/>
    <row r="121" spans="2:12" ht="18.75" x14ac:dyDescent="0.3">
      <c r="B121" s="2" t="s">
        <v>268</v>
      </c>
    </row>
    <row r="122" spans="2:12" outlineLevel="1" x14ac:dyDescent="0.2"/>
    <row r="123" spans="2:12" outlineLevel="1" x14ac:dyDescent="0.2">
      <c r="B123" s="11" t="s">
        <v>284</v>
      </c>
    </row>
    <row r="124" spans="2:12" ht="13.5" outlineLevel="1" thickBot="1" x14ac:dyDescent="0.25">
      <c r="D124" s="33"/>
    </row>
    <row r="125" spans="2:12" outlineLevel="1" x14ac:dyDescent="0.2">
      <c r="B125" s="57" t="s">
        <v>270</v>
      </c>
      <c r="C125" s="57"/>
      <c r="D125" s="70">
        <f>SUM(Quantity_Sold)</f>
        <v>11376</v>
      </c>
    </row>
    <row r="126" spans="2:12" outlineLevel="1" x14ac:dyDescent="0.2"/>
    <row r="127" spans="2:12" outlineLevel="1" x14ac:dyDescent="0.2">
      <c r="B127" s="11" t="s">
        <v>285</v>
      </c>
    </row>
    <row r="128" spans="2:12" outlineLevel="1" x14ac:dyDescent="0.2"/>
    <row r="129" spans="2:4" outlineLevel="1" x14ac:dyDescent="0.2">
      <c r="B129" s="57" t="s">
        <v>283</v>
      </c>
      <c r="C129" s="57"/>
      <c r="D129" s="53">
        <f>AVERAGE(UnitPrice)</f>
        <v>7.0202803738317785</v>
      </c>
    </row>
    <row r="130" spans="2:4" outlineLevel="1" x14ac:dyDescent="0.2"/>
  </sheetData>
  <conditionalFormatting sqref="B10:L116">
    <cfRule type="expression" dxfId="0" priority="1">
      <formula>MOD(ROW(B10),2)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ThisWorkbook.sent_to_answer_1">
                <anchor moveWithCells="1" sizeWithCells="1">
                  <from>
                    <xdr:col>4</xdr:col>
                    <xdr:colOff>552450</xdr:colOff>
                    <xdr:row>125</xdr:row>
                    <xdr:rowOff>95250</xdr:rowOff>
                  </from>
                  <to>
                    <xdr:col>5</xdr:col>
                    <xdr:colOff>1390650</xdr:colOff>
                    <xdr:row>128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sheetPr>
  <dimension ref="A1:D17"/>
  <sheetViews>
    <sheetView showGridLines="0" workbookViewId="0">
      <selection activeCell="F15" sqref="F15"/>
    </sheetView>
  </sheetViews>
  <sheetFormatPr defaultColWidth="9.1640625" defaultRowHeight="12" x14ac:dyDescent="0.2"/>
  <cols>
    <col min="1" max="1" width="9.1640625" customWidth="1"/>
    <col min="2" max="2" width="113.6640625" bestFit="1" customWidth="1"/>
    <col min="3" max="3" width="9.1640625" customWidth="1"/>
    <col min="4" max="4" width="24.1640625" customWidth="1"/>
    <col min="5" max="5" width="9.1640625" customWidth="1"/>
    <col min="6" max="6" width="13.1640625" customWidth="1"/>
    <col min="7" max="15" width="14" customWidth="1"/>
    <col min="16" max="16" width="9.1640625" customWidth="1"/>
  </cols>
  <sheetData>
    <row r="1" spans="1:4" s="34" customFormat="1" ht="18.75" x14ac:dyDescent="0.3">
      <c r="A1" s="10" t="str">
        <f>Introduction!A1</f>
        <v>Problem Solving with Excel</v>
      </c>
    </row>
    <row r="2" spans="1:4" s="34" customFormat="1" ht="12.75" x14ac:dyDescent="0.2">
      <c r="A2" s="12" t="str">
        <f>Introduction!A2</f>
        <v>Week 1</v>
      </c>
    </row>
    <row r="3" spans="1:4" s="34" customFormat="1" ht="12.75" x14ac:dyDescent="0.2">
      <c r="A3" s="12" t="str">
        <f>Introduction!A3</f>
        <v>Basic Functionality</v>
      </c>
    </row>
    <row r="4" spans="1:4" s="34" customFormat="1" ht="12.75" x14ac:dyDescent="0.2">
      <c r="A4" s="12" t="str">
        <f ca="1">MID(CELL("Filename",I7),SEARCH("]",CELL("Filename",I7),1)+1,100)</f>
        <v>Section 3 - Named Ranges (ANS)</v>
      </c>
    </row>
    <row r="5" spans="1:4" s="34" customFormat="1" ht="12.75" x14ac:dyDescent="0.2"/>
    <row r="6" spans="1:4" s="34" customFormat="1" ht="12.75" x14ac:dyDescent="0.2"/>
    <row r="7" spans="1:4" ht="12.75" x14ac:dyDescent="0.2">
      <c r="A7" s="34"/>
    </row>
    <row r="9" spans="1:4" ht="18.75" x14ac:dyDescent="0.3">
      <c r="B9" s="2" t="s">
        <v>268</v>
      </c>
      <c r="C9" s="34"/>
      <c r="D9" s="34"/>
    </row>
    <row r="10" spans="1:4" ht="12.75" x14ac:dyDescent="0.2">
      <c r="B10" s="34"/>
      <c r="C10" s="34"/>
      <c r="D10" s="34"/>
    </row>
    <row r="11" spans="1:4" ht="12.75" x14ac:dyDescent="0.2">
      <c r="B11" s="34" t="s">
        <v>284</v>
      </c>
      <c r="C11" s="34"/>
      <c r="D11" s="34"/>
    </row>
    <row r="12" spans="1:4" ht="13.5" thickBot="1" x14ac:dyDescent="0.25">
      <c r="B12" s="34"/>
      <c r="C12" s="34"/>
      <c r="D12" s="33"/>
    </row>
    <row r="13" spans="1:4" ht="12.75" x14ac:dyDescent="0.2">
      <c r="B13" s="57" t="s">
        <v>270</v>
      </c>
      <c r="C13" s="57"/>
      <c r="D13" s="61">
        <f>SUM(QuantitySold)</f>
        <v>11376</v>
      </c>
    </row>
    <row r="14" spans="1:4" ht="12.75" x14ac:dyDescent="0.2">
      <c r="B14" s="34"/>
      <c r="C14" s="34"/>
      <c r="D14" s="34"/>
    </row>
    <row r="15" spans="1:4" ht="12.75" x14ac:dyDescent="0.2">
      <c r="B15" s="34" t="s">
        <v>285</v>
      </c>
      <c r="C15" s="34"/>
      <c r="D15" s="34"/>
    </row>
    <row r="16" spans="1:4" ht="12.75" x14ac:dyDescent="0.2">
      <c r="B16" s="34"/>
      <c r="C16" s="34"/>
      <c r="D16" s="34"/>
    </row>
    <row r="17" spans="2:4" ht="12.75" x14ac:dyDescent="0.2">
      <c r="B17" s="57" t="s">
        <v>283</v>
      </c>
      <c r="C17" s="57"/>
      <c r="D17" s="60" t="s">
        <v>288</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GBCellLocking2A">
                <anchor moveWithCells="1" sizeWithCells="1">
                  <from>
                    <xdr:col>10</xdr:col>
                    <xdr:colOff>66675</xdr:colOff>
                    <xdr:row>0</xdr:row>
                    <xdr:rowOff>219075</xdr:rowOff>
                  </from>
                  <to>
                    <xdr:col>12</xdr:col>
                    <xdr:colOff>180975</xdr:colOff>
                    <xdr:row>3</xdr:row>
                    <xdr:rowOff>152400</xdr:rowOff>
                  </to>
                </anchor>
              </controlPr>
            </control>
          </mc:Choice>
        </mc:AlternateContent>
        <mc:AlternateContent xmlns:mc="http://schemas.openxmlformats.org/markup-compatibility/2006">
          <mc:Choice Requires="x14">
            <control shapeId="10242" r:id="rId5" name="Button 2">
              <controlPr defaultSize="0" print="0" autoFill="0" autoPict="0" macro="[0]!ThisWorkbook.instruction_to_answer_1">
                <anchor moveWithCells="1" sizeWithCells="1">
                  <from>
                    <xdr:col>4</xdr:col>
                    <xdr:colOff>438150</xdr:colOff>
                    <xdr:row>13</xdr:row>
                    <xdr:rowOff>57150</xdr:rowOff>
                  </from>
                  <to>
                    <xdr:col>6</xdr:col>
                    <xdr:colOff>561975</xdr:colOff>
                    <xdr:row>15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Introduction</vt:lpstr>
      <vt:lpstr>Summary</vt:lpstr>
      <vt:lpstr>Section 1 - Paste Special</vt:lpstr>
      <vt:lpstr>Section 1 - Paste Special (ANS)</vt:lpstr>
      <vt:lpstr>Section 2 - Cell Locking</vt:lpstr>
      <vt:lpstr>Section 2 - Cell Locking (ANS)</vt:lpstr>
      <vt:lpstr>Section 3 - Named Ranges</vt:lpstr>
      <vt:lpstr>Section 3 - Named Ranges (ANS)</vt:lpstr>
      <vt:lpstr>Quantity_Sold</vt:lpstr>
      <vt:lpstr>QuantitySold</vt:lpstr>
      <vt:lpstr>Sales_Data</vt:lpstr>
      <vt:lpstr>Sales_Revenue</vt:lpstr>
      <vt:lpstr>SalesData</vt:lpstr>
      <vt:lpstr>SalesRevenue</vt:lpstr>
      <vt:lpstr>UnitPrice</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Windows User</cp:lastModifiedBy>
  <dcterms:created xsi:type="dcterms:W3CDTF">2016-06-22T22:01:00Z</dcterms:created>
  <dcterms:modified xsi:type="dcterms:W3CDTF">2018-07-04T16:04:30Z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